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ea2e38a6f04e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2266fee4d846b4"/>
    <x:sheet xmlns:r="http://schemas.openxmlformats.org/officeDocument/2006/relationships" name="Employees" sheetId="2" r:id="Rf87de8b6562b4f80"/>
    <x:sheet xmlns:r="http://schemas.openxmlformats.org/officeDocument/2006/relationships" name="Attendance issues" sheetId="3" r:id="R9d45965e70374c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&quot;  &quot;;[Red](#,##0.00)&quot;  &quot;;0.00&quot;  &quot;"/>
    <x:numFmt numFmtId="201" formatCode="0&quot;   &quot;"/>
    <x:numFmt numFmtId="202" formatCode="0.00;[Red](0.00);0.00"/>
    <x:numFmt numFmtId="203" formatCode="dd-mmm-yyyy&quot;  &quot;"/>
    <x:numFmt numFmtId="204" formatCode="0.00"/>
  </x:numFmts>
  <x:fonts count="7">
    <x:font>
      <x:sz val="11"/>
      <x:name val="Carlito"/>
    </x:font>
    <x:font>
      <x:sz val="10"/>
      <x:color rgb="FF243446"/>
      <x:name val="Arial"/>
    </x:font>
    <x:font>
      <x:b/>
      <x:sz val="15"/>
      <x:color rgb="FF253D55"/>
      <x:name val="Arial"/>
    </x:font>
    <x:font>
      <x:i/>
      <x:sz val="10"/>
      <x:color rgb="FF596B7C"/>
      <x:name val="Arial"/>
    </x:font>
    <x:font>
      <x:b/>
      <x:sz val="10"/>
      <x:color rgb="FFFFFFFF"/>
      <x:name val="Arial"/>
    </x:font>
    <x:font>
      <x:b/>
      <x:sz val="10"/>
      <x:color rgb="FF253D55"/>
      <x:name val="Arial"/>
    </x:font>
    <x:font>
      <x:sz val="10"/>
      <x:color rgb="FF596B7C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D55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53D55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805200"/>
      </x:font>
      <x:fill>
        <x:patternFill patternType="solid">
          <x:bgColor rgb="FFFFF2D5"/>
        </x:patternFill>
      </x:fill>
    </x:dxf>
    <x:dxf>
      <x:font>
        <x:color rgb="FF805200"/>
      </x:font>
      <x:fill>
        <x:patternFill patternType="solid">
          <x:bgColor rgb="FFFFF2D5"/>
        </x:patternFill>
      </x:fill>
    </x:dxf>
    <x:dxf>
      <x:font>
        <x:color rgb="FF805200"/>
      </x:font>
      <x:fill>
        <x:patternFill patternType="solid">
          <x:bgColor rgb="FFFFF2D5"/>
        </x:patternFill>
      </x:fill>
    </x:dxf>
    <x:dxf>
      <x:font>
        <x:color rgb="FF805200"/>
      </x:font>
      <x:fill>
        <x:patternFill patternType="solid">
          <x:bgColor rgb="FFFFF2D5"/>
        </x:patternFill>
      </x:fill>
    </x:dxf>
    <x:dxf>
      <x:font>
        <x:color rgb="FF805200"/>
      </x:font>
      <x:fill>
        <x:patternFill patternType="solid">
          <x:bgColor rgb="FFFFF2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202c1490df4b15" /><Relationship Type="http://schemas.openxmlformats.org/officeDocument/2006/relationships/theme" Target="/xl/theme/theme1.xml" Id="R9fc673a410fa4738" /><Relationship Type="http://schemas.openxmlformats.org/officeDocument/2006/relationships/sharedStrings" Target="/xl/sharedStrings.xml" Id="Rc8085d10be404421" /><Relationship Type="http://schemas.openxmlformats.org/officeDocument/2006/relationships/worksheet" Target="/xl/worksheets/sheet1.xml" Id="Rc62266fee4d846b4" /><Relationship Type="http://schemas.openxmlformats.org/officeDocument/2006/relationships/worksheet" Target="/xl/worksheets/sheet2.xml" Id="Rf87de8b6562b4f80" /><Relationship Type="http://schemas.openxmlformats.org/officeDocument/2006/relationships/worksheet" Target="/xl/worksheets/sheet3.xml" Id="R9d45965e70374c94" /></Relationships>
</file>

<file path=xl/tables/table1.xml><?xml version="1.0" encoding="utf-8"?>
<x:table xmlns:x="http://schemas.openxmlformats.org/spreadsheetml/2006/main" id="1" name="EmployeeReconciliation" displayName="EmployeeReconciliation" ref="A5:AS37" headerRowCount="1" totalsRowCount="0" totalsRowShown="0">
  <x:tableColumns count="45">
    <x:tableColumn id="1" name="HR row"/>
    <x:tableColumn id="2" name="Employee in HR sheet"/>
    <x:tableColumn id="3" name="System employee code"/>
    <x:tableColumn id="4" name="Employee match"/>
    <x:tableColumn id="5" name="HR monthly salary (INR)"/>
    <x:tableColumn id="6" name="Saved monthly salary (INR)"/>
    <x:tableColumn id="7" name="Salary difference (INR)"/>
    <x:tableColumn id="8" name="HR biometric hours"/>
    <x:tableColumn id="9" name="System worked minutes"/>
    <x:tableColumn id="10" name="System decimal hours"/>
    <x:tableColumn id="11" name="Hours difference"/>
    <x:tableColumn id="12" name="HR additions (INR)"/>
    <x:tableColumn id="13" name="Saved additions (INR)"/>
    <x:tableColumn id="14" name="Additions difference (INR)"/>
    <x:tableColumn id="15" name="HR PF (INR)"/>
    <x:tableColumn id="16" name="Saved PF override (INR)"/>
    <x:tableColumn id="17" name="HR ESI (INR)"/>
    <x:tableColumn id="18" name="Saved ESI override (INR)"/>
    <x:tableColumn id="19" name="HR advance recovery (INR)"/>
    <x:tableColumn id="20" name="Saved advance recovery (INR)"/>
    <x:tableColumn id="21" name="HR welfare (INR)"/>
    <x:tableColumn id="22" name="Saved welfare (INR)"/>
    <x:tableColumn id="23" name="HR other deduction / TDS (INR)"/>
    <x:tableColumn id="24" name="Saved other deduction (INR)"/>
    <x:tableColumn id="25" name="HR total wages (INR)"/>
    <x:tableColumn id="26" name="HR total deductions (INR)"/>
    <x:tableColumn id="27" name="HR net pay (INR)"/>
    <x:tableColumn id="28" name="Calculated system net (INR)"/>
    <x:tableColumn id="29" name="Missing daily records"/>
    <x:tableColumn id="30" name="Unresolved attendance dates"/>
    <x:tableColumn id="31" name="Pending recompute dates"/>
    <x:tableColumn id="32" name="Salary setup"/>
    <x:tableColumn id="33" name="Monthly input setup"/>
    <x:tableColumn id="34" name="Attendance review"/>
    <x:tableColumn id="35" name="HR holiday days"/>
    <x:tableColumn id="36" name="System holiday days"/>
    <x:tableColumn id="37" name="HR off days"/>
    <x:tableColumn id="38" name="System off days"/>
    <x:tableColumn id="39" name="HR casual days"/>
    <x:tableColumn id="40" name="System casual days"/>
    <x:tableColumn id="41" name="HR credited days"/>
    <x:tableColumn id="42" name="System paid-day credits"/>
    <x:tableColumn id="43" name="Name in Supabase"/>
    <x:tableColumn id="44" name="Identity evidence"/>
    <x:tableColumn id="45" name="Items needing revie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ttendanceReviewDates" displayName="AttendanceReviewDates" ref="A5:J98" headerRowCount="1" totalsRowCount="0" totalsRowShown="0">
  <x:tableColumns count="10">
    <x:tableColumn id="1" name="Employee"/>
    <x:tableColumn id="2" name="System code"/>
    <x:tableColumn id="3" name="Date"/>
    <x:tableColumn id="4" name="Recorded status"/>
    <x:tableColumn id="5" name="Issue"/>
    <x:tableColumn id="6" name="Worked minutes"/>
    <x:tableColumn id="7" name="Worked duration"/>
    <x:tableColumn id="8" name="Punch count"/>
    <x:tableColumn id="9" name="Paid day credit"/>
    <x:tableColumn id="10" name="HR r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4af6edd93e40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68a73eff614f83" /></Relationships>
</file>

<file path=xl/worksheets/sheet1.xml><?xml version="1.0" encoding="utf-8"?>
<x:worksheet xmlns:x="http://schemas.openxmlformats.org/spreadsheetml/2006/main">
  <x:sheetPr>
    <x:tabColor rgb="FF253D55"/>
  </x:sheetPr>
  <x:sheetViews>
    <x:sheetView showGridLines="0" workbookViewId="0"/>
  </x:sheetViews>
  <x:sheetFormatPr defaultRowHeight="15"/>
  <x:cols>
    <x:col min="1" max="1" width="34" hidden="0" customWidth="1"/>
    <x:col min="2" max="2" width="32" hidden="0" customWidth="1"/>
    <x:col min="3" max="3" width="31" hidden="0" customWidth="1"/>
    <x:col min="4" max="4" width="64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4" t="str">
        <x:v>September 2026 payroll reconciliation</x:v>
      </x:c>
      <x:c r="B2" s="5"/>
      <x:c r="C2" s="5"/>
      <x:c r="D2" s="5"/>
      <x:c r="E2" s="5"/>
      <x:c r="F2" s="5"/>
      <x:c r="G2" s="5"/>
      <x:c r="H2" s="5"/>
    </x:row>
    <x:row r="3" ht="24" customHeight="1">
      <x:c r="A3" s="6" t="str">
        <x:v>HR sheet compared with live Supabase. Read-only snapshot taken 7 Oct 2026, 4:43 pm IST.</x:v>
      </x:c>
      <x:c r="B3" s="6"/>
      <x:c r="C3" s="6"/>
      <x:c r="D3" s="6"/>
      <x:c r="E3" s="6"/>
      <x:c r="F3" s="6"/>
      <x:c r="G3" s="6"/>
      <x:c r="H3" s="6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48" customHeight="1">
      <x:c r="A5" s="10" t="str">
        <x:v>Measure</x:v>
      </x:c>
      <x:c r="B5" s="10" t="str">
        <x:v>HR sheet</x:v>
      </x:c>
      <x:c r="C5" s="10" t="str">
        <x:v>System</x:v>
      </x:c>
      <x:c r="D5" s="10" t="str">
        <x:v>Finding</x:v>
      </x:c>
      <x:c r="E5" s="2"/>
      <x:c r="F5" s="2"/>
      <x:c r="G5" s="2"/>
      <x:c r="H5" s="2"/>
    </x:row>
    <x:row r="6" ht="34" customHeight="1">
      <x:c r="A6" s="12" t="str">
        <x:v>Employees</x:v>
      </x:c>
      <x:c r="B6" s="14" t="n">
        <x:f>COUNTA(Employees!B6:B37)</x:f>
        <x:v>32</x:v>
      </x:c>
      <x:c r="C6" s="14" t="n">
        <x:f>COUNTIFS(Employees!D6:D37,"Matched")</x:f>
        <x:v>27</x:v>
      </x:c>
      <x:c r="D6" s="12" t="str">
        <x:v>5 employees could not be matched</x:v>
      </x:c>
      <x:c r="E6" s="2"/>
      <x:c r="F6" s="2"/>
      <x:c r="G6" s="2"/>
      <x:c r="H6" s="2"/>
    </x:row>
    <x:row r="7" ht="34" customHeight="1">
      <x:c r="A7" s="12" t="str">
        <x:v>Monthly salary configured</x:v>
      </x:c>
      <x:c r="B7" s="14" t="n">
        <x:v>32</x:v>
      </x:c>
      <x:c r="C7" s="14" t="n">
        <x:f>COUNT(Employees!F6:F37)</x:f>
        <x:v>1</x:v>
      </x:c>
      <x:c r="D7" s="12" t="str">
        <x:v>26 of the 27 matched employees need salary setup</x:v>
      </x:c>
      <x:c r="E7" s="2"/>
      <x:c r="F7" s="2"/>
      <x:c r="G7" s="2"/>
      <x:c r="H7" s="2"/>
    </x:row>
    <x:row r="8" ht="34" customHeight="1">
      <x:c r="A8" s="12" t="str">
        <x:v>September monthly inputs</x:v>
      </x:c>
      <x:c r="B8" s="12" t="str">
        <x:v>31 employees show an addition or deduction</x:v>
      </x:c>
      <x:c r="C8" s="14" t="n">
        <x:f>COUNTIFS(Employees!AG6:AG37,"Saved")</x:f>
        <x:v>1</x:v>
      </x:c>
      <x:c r="D8" s="12" t="str">
        <x:v>Only Kasinath has saved monthly inputs</x:v>
      </x:c>
      <x:c r="E8" s="2"/>
      <x:c r="F8" s="2"/>
      <x:c r="G8" s="2"/>
      <x:c r="H8" s="2"/>
    </x:row>
    <x:row r="9" ht="34" customHeight="1">
      <x:c r="A9" s="12" t="str">
        <x:v>Net payroll (INR)</x:v>
      </x:c>
      <x:c r="B9" s="13" t="n">
        <x:f>SUM(Employees!AA6:AA37)</x:f>
        <x:v>880507</x:v>
      </x:c>
      <x:c r="C9" s="12" t="str">
        <x:v>Unavailable</x:v>
      </x:c>
      <x:c r="D9" s="12" t="str">
        <x:v>No September run or payslips exist</x:v>
      </x:c>
      <x:c r="E9" s="2"/>
      <x:c r="F9" s="2"/>
      <x:c r="G9" s="2"/>
      <x:c r="H9" s="2"/>
    </x:row>
    <x:row r="10" ht="34" customHeight="1">
      <x:c r="A10" s="12" t="str">
        <x:v>Wages before deductions (INR)</x:v>
      </x:c>
      <x:c r="B10" s="13" t="n">
        <x:f>SUM(Employees!Y6:Y37)</x:f>
        <x:v>905953</x:v>
      </x:c>
      <x:c r="C10" s="12" t="str">
        <x:v>Unavailable</x:v>
      </x:c>
      <x:c r="D10" s="12" t="str">
        <x:v>A system total cannot be reconciled yet</x:v>
      </x:c>
      <x:c r="E10" s="2"/>
      <x:c r="F10" s="2"/>
      <x:c r="G10" s="2"/>
      <x:c r="H10" s="2"/>
    </x:row>
    <x:row r="11" ht="34" customHeight="1">
      <x:c r="A11" s="12" t="str">
        <x:v>Deductions (INR)</x:v>
      </x:c>
      <x:c r="B11" s="13" t="n">
        <x:f>SUM(Employees!Z6:Z37)</x:f>
        <x:v>25446</x:v>
      </x:c>
      <x:c r="C11" s="12" t="str">
        <x:v>Unavailable</x:v>
      </x:c>
      <x:c r="D11" s="12" t="str">
        <x:v>Reference amounts are not fully configured</x:v>
      </x:c>
      <x:c r="E11" s="2"/>
      <x:c r="F11" s="2"/>
      <x:c r="G11" s="2"/>
      <x:c r="H11" s="2"/>
    </x:row>
    <x:row r="12" ht="34" customHeight="1">
      <x:c r="A12" s="12" t="str">
        <x:v>Matched employees needing attendance review</x:v>
      </x:c>
      <x:c r="B12" s="12" t="str">
        <x:v>Not identified by the sheet</x:v>
      </x:c>
      <x:c r="C12" s="14" t="n">
        <x:v>27</x:v>
      </x:c>
      <x:c r="D12" s="12" t="str">
        <x:v>87 unresolved dates, 6 missing records, 2 pending dates</x:v>
      </x:c>
      <x:c r="E12" s="2"/>
      <x:c r="F12" s="2"/>
      <x:c r="G12" s="2"/>
      <x:c r="H12" s="2"/>
    </x:row>
    <x:row r="13" ht="34" customHeight="1">
      <x:c r="A13" s="12" t="str">
        <x:v>Daily working time</x:v>
      </x:c>
      <x:c r="B13" s="12" t="str">
        <x:v>HR confirmed 8h 30m</x:v>
      </x:c>
      <x:c r="C13" s="12" t="str">
        <x:v>Payroll policy 8h; shift 8h 30m</x:v>
      </x:c>
      <x:c r="D13" s="12" t="str">
        <x:v>Sheet calculates using 8.3, which means 8h 18m</x:v>
      </x:c>
      <x:c r="E13" s="2"/>
      <x:c r="F13" s="2"/>
      <x:c r="G13" s="2"/>
      <x:c r="H13" s="2"/>
    </x:row>
    <x:row r="14" ht="34" customHeight="1">
      <x:c r="A14" s="12" t="str">
        <x:v>Salary calculation</x:v>
      </x:c>
      <x:c r="B14" s="12" t="str">
        <x:v>Hourly rate × worked and credited hours</x:v>
      </x:c>
      <x:c r="C14" s="12" t="str">
        <x:v>Salary prorated by paid days, plus OT</x:v>
      </x:c>
      <x:c r="D14" s="12" t="str">
        <x:v>The two calculation methods differ</x:v>
      </x:c>
      <x:c r="E14" s="2"/>
      <x:c r="F14" s="2"/>
      <x:c r="G14" s="2"/>
      <x:c r="H14" s="2"/>
    </x:row>
    <x:row r="15" ht="34" customHeight="1">
      <x:c r="A15" s="12" t="str">
        <x:v>Company-wide payroll scope</x:v>
      </x:c>
      <x:c r="B15" s="12" t="str">
        <x:v>32 staff in this sheet</x:v>
      </x:c>
      <x:c r="C15" s="14" t="n">
        <x:v>171</x:v>
      </x:c>
      <x:c r="D15" s="12" t="str">
        <x:v>Company payroll scope also includes staff outside this sheet</x:v>
      </x:c>
      <x:c r="E15" s="2"/>
      <x:c r="F15" s="2"/>
      <x:c r="G15" s="2"/>
      <x:c r="H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</x:row>
    <x:row r="17" ht="48" customHeight="1">
      <x:c r="A17" s="10" t="str">
        <x:v>Missing recorded input</x:v>
      </x:c>
      <x:c r="B17" s="10" t="str">
        <x:v>Amount (INR)</x:v>
      </x:c>
      <x:c r="C17" s="10" t="str">
        <x:v>Scope</x:v>
      </x:c>
      <x:c r="D17" s="10" t="str">
        <x:v>Action</x:v>
      </x:c>
      <x:c r="E17" s="2"/>
      <x:c r="F17" s="2"/>
      <x:c r="G17" s="2"/>
      <x:c r="H17" s="2"/>
    </x:row>
    <x:row r="18" ht="36" customHeight="1">
      <x:c r="A18" s="12" t="str">
        <x:v>Additional allowances</x:v>
      </x:c>
      <x:c r="B18" s="13" t="n">
        <x:v>14000</x:v>
      </x:c>
      <x:c r="C18" s="12" t="str">
        <x:v>Matched employees</x:v>
      </x:c>
      <x:c r="D18" s="12" t="str">
        <x:v>Chikku 2,000; Shiji 12,000</x:v>
      </x:c>
      <x:c r="E18" s="2"/>
      <x:c r="F18" s="2"/>
      <x:c r="G18" s="2"/>
      <x:c r="H18" s="2"/>
    </x:row>
    <x:row r="19" ht="36" customHeight="1">
      <x:c r="A19" s="12" t="str">
        <x:v>PF amounts shown by HR</x:v>
      </x:c>
      <x:c r="B19" s="13" t="n">
        <x:v>7840</x:v>
      </x:c>
      <x:c r="C19" s="12" t="str">
        <x:v>4 matched employees</x:v>
      </x:c>
      <x:c r="D19" s="12" t="str">
        <x:v>Record or verify applicable deduction amounts</x:v>
      </x:c>
      <x:c r="E19" s="2"/>
      <x:c r="F19" s="2"/>
      <x:c r="G19" s="2"/>
      <x:c r="H19" s="2"/>
    </x:row>
    <x:row r="20" ht="36" customHeight="1">
      <x:c r="A20" s="12" t="str">
        <x:v>ESI amounts shown by HR</x:v>
      </x:c>
      <x:c r="B20" s="13" t="n">
        <x:v>896</x:v>
      </x:c>
      <x:c r="C20" s="12" t="str">
        <x:v>8 matched employees</x:v>
      </x:c>
      <x:c r="D20" s="12" t="str">
        <x:v>Record or verify applicable deduction amounts</x:v>
      </x:c>
      <x:c r="E20" s="2"/>
      <x:c r="F20" s="2"/>
      <x:c r="G20" s="2"/>
      <x:c r="H20" s="2"/>
    </x:row>
    <x:row r="21" ht="36" customHeight="1">
      <x:c r="A21" s="12" t="str">
        <x:v>Salary advance recovery</x:v>
      </x:c>
      <x:c r="B21" s="13" t="n">
        <x:v>15000</x:v>
      </x:c>
      <x:c r="C21" s="12" t="str">
        <x:v>3 matched employees</x:v>
      </x:c>
      <x:c r="D21" s="12" t="str">
        <x:v>Record the recoveries without duplicating advances</x:v>
      </x:c>
      <x:c r="E21" s="2"/>
      <x:c r="F21" s="2"/>
      <x:c r="G21" s="2"/>
      <x:c r="H21" s="2"/>
    </x:row>
    <x:row r="22" ht="36" customHeight="1">
      <x:c r="A22" s="12" t="str">
        <x:v>Welfare fund</x:v>
      </x:c>
      <x:c r="B22" s="13" t="n">
        <x:v>1300</x:v>
      </x:c>
      <x:c r="C22" s="12" t="str">
        <x:v>26 matched employees</x:v>
      </x:c>
      <x:c r="D22" s="12" t="str">
        <x:v>Record the sheet’s 50 per paid employee</x:v>
      </x:c>
      <x:c r="E22" s="2"/>
      <x:c r="F22" s="2"/>
      <x:c r="G22" s="2"/>
      <x:c r="H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</x:row>
    <x:row r="24" ht="24" customHeight="1">
      <x:c r="A24" s="15" t="str">
        <x:v>Employees not matched</x:v>
      </x:c>
      <x:c r="B24" s="2"/>
      <x:c r="C24" s="2"/>
      <x:c r="D24" s="15" t="str">
        <x:v>What the comparison establishes</x:v>
      </x:c>
      <x:c r="E24" s="2"/>
      <x:c r="F24" s="2"/>
      <x:c r="G24" s="2"/>
      <x:c r="H24" s="2"/>
    </x:row>
    <x:row r="25" ht="48" customHeight="1">
      <x:c r="A25" s="2" t="str">
        <x:v>ASHLY P MATHEW</x:v>
      </x:c>
      <x:c r="B25" s="2" t="str">
        <x:v>HR row 7</x:v>
      </x:c>
      <x:c r="C25" s="2"/>
      <x:c r="D25" s="12" t="str">
        <x:v>Kasinath’s monthly salary (50,000) and allowance (20,000) match. His welfare deduction of 50 is missing.</x:v>
      </x:c>
      <x:c r="E25" s="2"/>
      <x:c r="F25" s="2"/>
      <x:c r="G25" s="2"/>
      <x:c r="H25" s="2"/>
    </x:row>
    <x:row r="26" ht="48" customHeight="1">
      <x:c r="A26" s="2" t="str">
        <x:v>JISMI THOMAS</x:v>
      </x:c>
      <x:c r="B26" s="2" t="str">
        <x:v>HR row 12</x:v>
      </x:c>
      <x:c r="C26" s="2"/>
      <x:c r="D26" s="12" t="str">
        <x:v>Kasinath: HR reports 203 worked hours; Supabase records 184h 45m, with 5 unresolved dates and 1 pending recomputation.</x:v>
      </x:c>
      <x:c r="E26" s="2"/>
      <x:c r="F26" s="2"/>
      <x:c r="G26" s="2"/>
      <x:c r="H26" s="2"/>
    </x:row>
    <x:row r="27" ht="48" customHeight="1">
      <x:c r="A27" s="2" t="str">
        <x:v>JOSEPH JAMES</x:v>
      </x:c>
      <x:c r="B27" s="2" t="str">
        <x:v>HR row 13</x:v>
      </x:c>
      <x:c r="C27" s="2"/>
      <x:c r="D27" s="12" t="str">
        <x:v>All matched hour comparisons are provisional until attendance issues are resolved. Missing system amounts are not zero.</x:v>
      </x:c>
      <x:c r="E27" s="2"/>
      <x:c r="F27" s="2"/>
      <x:c r="G27" s="2"/>
      <x:c r="H27" s="2"/>
    </x:row>
    <x:row r="28" ht="48" customHeight="1">
      <x:c r="A28" s="2" t="str">
        <x:v>MOHAMMED ANEES</x:v>
      </x:c>
      <x:c r="B28" s="2" t="str">
        <x:v>HR row 18</x:v>
      </x:c>
      <x:c r="C28" s="2"/>
      <x:c r="D28" s="12" t="str">
        <x:v>HR’s biometric notation for 199.45 and 116.55 remains unverified. Both rows are unmatched.</x:v>
      </x:c>
      <x:c r="E28" s="2"/>
      <x:c r="F28" s="2"/>
      <x:c r="G28" s="2"/>
      <x:c r="H28" s="2"/>
    </x:row>
    <x:row r="29" ht="48" customHeight="1">
      <x:c r="A29" s="2" t="str">
        <x:v>SAJEEV I C</x:v>
      </x:c>
      <x:c r="B29" s="2" t="str">
        <x:v>HR row 24</x:v>
      </x:c>
      <x:c r="C29" s="2"/>
      <x:c r="D29" s="12" t="str">
        <x:v>The workbook is a comparison of saved records, not a new payroll calculation. No source workbook or live records were changed.</x:v>
      </x:c>
      <x:c r="E29" s="2"/>
      <x:c r="F29" s="2"/>
      <x:c r="G29" s="2"/>
      <x:c r="H29" s="2"/>
    </x:row>
    <x:row r="30" ht="24" customHeight="1">
      <x:c r="A30" s="2" t="str">
        <x:v>HR rounds daily rates and total wages up to whole rupees. Its OT memo is already included in gross salary; the system adds OT separately.</x:v>
      </x:c>
      <x:c r="B30" s="2"/>
      <x:c r="C30" s="2"/>
      <x:c r="D30" s="2"/>
      <x:c r="E30" s="2"/>
      <x:c r="F30" s="2"/>
      <x:c r="G30" s="2"/>
      <x:c r="H30" s="2"/>
    </x:row>
    <x:row r="31" ht="24" customHeight="1">
      <x:c r="A31" s="15" t="str">
        <x:v>Sources and comparison method</x:v>
      </x:c>
      <x:c r="B31" s="2"/>
      <x:c r="C31" s="2"/>
      <x:c r="D31" s="2"/>
      <x:c r="E31" s="2"/>
      <x:c r="F31" s="2"/>
      <x:c r="G31" s="2"/>
      <x:c r="H31" s="2"/>
    </x:row>
    <x:row r="32" ht="24" customHeight="1">
      <x:c r="A32" s="16" t="str">
        <x:v>HR: PEARLS H.O  SALARY WORKINGS SEPTEMBER 2026 (1).xlsx; worksheet PEARLS H.O SEPTEMBER   2026; A3:AG35.</x:v>
      </x:c>
      <x:c r="B32" s="16"/>
      <x:c r="C32" s="16"/>
      <x:c r="D32" s="16"/>
      <x:c r="E32" s="16"/>
      <x:c r="F32" s="16"/>
      <x:c r="G32" s="16"/>
      <x:c r="H32" s="16"/>
    </x:row>
    <x:row r="33" ht="24" customHeight="1">
      <x:c r="A33" s="16" t="str">
        <x:v>Supabase: employees, linked biometric identities, salary structures, September attendance, monthly inputs, policies and payroll outputs.</x:v>
      </x:c>
      <x:c r="B33" s="16"/>
      <x:c r="C33" s="16"/>
      <x:c r="D33" s="16"/>
      <x:c r="E33" s="16"/>
      <x:c r="F33" s="16"/>
      <x:c r="G33" s="16"/>
      <x:c r="H33" s="16"/>
    </x:row>
    <x:row r="34" ht="24" customHeight="1">
      <x:c r="A34" s="16" t="str">
        <x:v>Employees matched by unique normalized name or an explicitly linked biometric code. No fuzzy matches were accepted.</x:v>
      </x:c>
      <x:c r="B34" s="16"/>
      <x:c r="C34" s="16"/>
      <x:c r="D34" s="16"/>
      <x:c r="E34" s="16"/>
      <x:c r="F34" s="16"/>
      <x:c r="G34" s="16"/>
      <x:c r="H34" s="16"/>
    </x:row>
    <x:row r="35" ht="24" customHeight="1">
      <x:c r="A35" s="16" t="str">
        <x:v>System hour totals sum stored minutes before dividing by 60. Differences are System minus HR; original source blanks remain blank.</x:v>
      </x:c>
      <x:c r="B35" s="16"/>
      <x:c r="C35" s="16"/>
      <x:c r="D35" s="16"/>
      <x:c r="E35" s="16"/>
      <x:c r="F35" s="16"/>
      <x:c r="G35" s="16"/>
      <x:c r="H35" s="16"/>
    </x:row>
    <x:row r="36" ht="24" customHeight="1">
      <x:c r="A36" s="16" t="str">
        <x:v>Salary structures were selected at the start of each employee’s September employment window. Source formulas were independently reconciled.</x:v>
      </x:c>
      <x:c r="B36" s="16"/>
      <x:c r="C36" s="16"/>
      <x:c r="D36" s="16"/>
      <x:c r="E36" s="16"/>
      <x:c r="F36" s="16"/>
      <x:c r="G36" s="16"/>
      <x:c r="H36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4738D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8" hidden="0" customWidth="1"/>
    <x:col min="2" max="2" width="28" hidden="0" customWidth="1"/>
    <x:col min="3" max="3" width="19" hidden="0" customWidth="1"/>
    <x:col min="4" max="4" width="16" hidden="0" customWidth="1"/>
    <x:col min="5" max="5" width="17" hidden="0" customWidth="1"/>
    <x:col min="6" max="6" width="19" hidden="0" customWidth="1"/>
    <x:col min="7" max="7" width="18" hidden="0" customWidth="1"/>
    <x:col min="8" max="8" width="16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8" hidden="0" customWidth="1"/>
    <x:col min="15" max="15" width="15" hidden="0" customWidth="1"/>
    <x:col min="16" max="16" width="18" hidden="0" customWidth="1"/>
    <x:col min="17" max="17" width="15" hidden="0" customWidth="1"/>
    <x:col min="18" max="18" width="18" hidden="0" customWidth="1"/>
    <x:col min="19" max="19" width="19" hidden="0" customWidth="1"/>
    <x:col min="20" max="20" width="20" hidden="0" customWidth="1"/>
    <x:col min="21" max="21" width="16" hidden="0" customWidth="1"/>
    <x:col min="22" max="22" width="17" hidden="0" customWidth="1"/>
    <x:col min="23" max="23" width="22" hidden="0" customWidth="1"/>
    <x:col min="24" max="24" width="20" hidden="0" customWidth="1"/>
    <x:col min="25" max="25" width="18" hidden="0" customWidth="1"/>
    <x:col min="26" max="26" width="19" hidden="0" customWidth="1"/>
    <x:col min="27" max="27" width="18" hidden="0" customWidth="1"/>
    <x:col min="28" max="28" width="21" hidden="0" customWidth="1"/>
    <x:col min="29" max="29" width="16" hidden="0" customWidth="1"/>
    <x:col min="30" max="30" width="19" hidden="0" customWidth="1"/>
    <x:col min="31" max="31" width="19" hidden="0" customWidth="1"/>
    <x:col min="32" max="32" width="15" hidden="0" customWidth="1"/>
    <x:col min="33" max="33" width="18" hidden="0" customWidth="1"/>
    <x:col min="34" max="34" width="18" hidden="0" customWidth="1"/>
    <x:col min="35" max="35" width="16" hidden="0" customWidth="1"/>
    <x:col min="36" max="36" width="18" hidden="0" customWidth="1"/>
    <x:col min="37" max="37" width="14" hidden="0" customWidth="1"/>
    <x:col min="38" max="38" width="15" hidden="0" customWidth="1"/>
    <x:col min="39" max="39" width="15" hidden="0" customWidth="1"/>
    <x:col min="40" max="40" width="17" hidden="0" customWidth="1"/>
    <x:col min="41" max="41" width="16" hidden="0" customWidth="1"/>
    <x:col min="42" max="42" width="20" hidden="0" customWidth="1"/>
    <x:col min="43" max="43" width="28" hidden="0" customWidth="1"/>
    <x:col min="44" max="44" width="48" hidden="0" customWidth="1"/>
    <x:col min="45" max="45" width="5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</x:row>
    <x:row r="2" ht="32" customHeight="1">
      <x:c r="A2" s="4" t="str">
        <x:v>Employee comparison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</x:row>
    <x:row r="3" ht="24" customHeight="1">
      <x:c r="A3" s="2" t="str">
        <x:v>September 2026. Amounts in INR. Blank system cells mean unavailable / not configured, not zero. Hour differences remain provisional.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</x:row>
    <x:row r="4" ht="24" customHeight="1">
      <x:c r="A4" s="2" t="str">
        <x:v>Sources: HR rows 3–34 and the read-only Supabase snapshot described on Summary. Scroll right for allowances, deductions, attendance and identity evidence.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</x:row>
    <x:row r="5" ht="48" customHeight="1">
      <x:c r="A5" s="10" t="str">
        <x:v>HR row</x:v>
      </x:c>
      <x:c r="B5" s="10" t="str">
        <x:v>Employee in HR sheet</x:v>
      </x:c>
      <x:c r="C5" s="10" t="str">
        <x:v>System employee code</x:v>
      </x:c>
      <x:c r="D5" s="10" t="str">
        <x:v>Employee match</x:v>
      </x:c>
      <x:c r="E5" s="10" t="str">
        <x:v>HR monthly salary (INR)</x:v>
      </x:c>
      <x:c r="F5" s="10" t="str">
        <x:v>Saved monthly salary (INR)</x:v>
      </x:c>
      <x:c r="G5" s="10" t="str">
        <x:v>Salary difference (INR)</x:v>
      </x:c>
      <x:c r="H5" s="10" t="str">
        <x:v>HR biometric hours</x:v>
      </x:c>
      <x:c r="I5" s="10" t="str">
        <x:v>System worked minutes</x:v>
      </x:c>
      <x:c r="J5" s="10" t="str">
        <x:v>System decimal hours</x:v>
      </x:c>
      <x:c r="K5" s="10" t="str">
        <x:v>Hours difference</x:v>
      </x:c>
      <x:c r="L5" s="10" t="str">
        <x:v>HR additions (INR)</x:v>
      </x:c>
      <x:c r="M5" s="10" t="str">
        <x:v>Saved additions (INR)</x:v>
      </x:c>
      <x:c r="N5" s="10" t="str">
        <x:v>Additions difference (INR)</x:v>
      </x:c>
      <x:c r="O5" s="10" t="str">
        <x:v>HR PF (INR)</x:v>
      </x:c>
      <x:c r="P5" s="10" t="str">
        <x:v>Saved PF override (INR)</x:v>
      </x:c>
      <x:c r="Q5" s="10" t="str">
        <x:v>HR ESI (INR)</x:v>
      </x:c>
      <x:c r="R5" s="10" t="str">
        <x:v>Saved ESI override (INR)</x:v>
      </x:c>
      <x:c r="S5" s="10" t="str">
        <x:v>HR advance recovery (INR)</x:v>
      </x:c>
      <x:c r="T5" s="10" t="str">
        <x:v>Saved advance recovery (INR)</x:v>
      </x:c>
      <x:c r="U5" s="10" t="str">
        <x:v>HR welfare (INR)</x:v>
      </x:c>
      <x:c r="V5" s="10" t="str">
        <x:v>Saved welfare (INR)</x:v>
      </x:c>
      <x:c r="W5" s="10" t="str">
        <x:v>HR other deduction / TDS (INR)</x:v>
      </x:c>
      <x:c r="X5" s="10" t="str">
        <x:v>Saved other deduction (INR)</x:v>
      </x:c>
      <x:c r="Y5" s="10" t="str">
        <x:v>HR total wages (INR)</x:v>
      </x:c>
      <x:c r="Z5" s="10" t="str">
        <x:v>HR total deductions (INR)</x:v>
      </x:c>
      <x:c r="AA5" s="10" t="str">
        <x:v>HR net pay (INR)</x:v>
      </x:c>
      <x:c r="AB5" s="10" t="str">
        <x:v>Calculated system net (INR)</x:v>
      </x:c>
      <x:c r="AC5" s="10" t="str">
        <x:v>Missing daily records</x:v>
      </x:c>
      <x:c r="AD5" s="10" t="str">
        <x:v>Unresolved attendance dates</x:v>
      </x:c>
      <x:c r="AE5" s="10" t="str">
        <x:v>Pending recompute dates</x:v>
      </x:c>
      <x:c r="AF5" s="10" t="str">
        <x:v>Salary setup</x:v>
      </x:c>
      <x:c r="AG5" s="10" t="str">
        <x:v>Monthly input setup</x:v>
      </x:c>
      <x:c r="AH5" s="10" t="str">
        <x:v>Attendance review</x:v>
      </x:c>
      <x:c r="AI5" s="10" t="str">
        <x:v>HR holiday days</x:v>
      </x:c>
      <x:c r="AJ5" s="10" t="str">
        <x:v>System holiday days</x:v>
      </x:c>
      <x:c r="AK5" s="10" t="str">
        <x:v>HR off days</x:v>
      </x:c>
      <x:c r="AL5" s="10" t="str">
        <x:v>System off days</x:v>
      </x:c>
      <x:c r="AM5" s="10" t="str">
        <x:v>HR casual days</x:v>
      </x:c>
      <x:c r="AN5" s="10" t="str">
        <x:v>System casual days</x:v>
      </x:c>
      <x:c r="AO5" s="10" t="str">
        <x:v>HR credited days</x:v>
      </x:c>
      <x:c r="AP5" s="10" t="str">
        <x:v>System paid-day credits</x:v>
      </x:c>
      <x:c r="AQ5" s="10" t="str">
        <x:v>Name in Supabase</x:v>
      </x:c>
      <x:c r="AR5" s="10" t="str">
        <x:v>Identity evidence</x:v>
      </x:c>
      <x:c r="AS5" s="10" t="str">
        <x:v>Items needing review</x:v>
      </x:c>
    </x:row>
    <x:row r="6" ht="32" customHeight="1">
      <x:c r="A6" s="2" t="n">
        <x:v>3</x:v>
      </x:c>
      <x:c r="B6" s="2" t="str">
        <x:v>ABHILASH CHERIYAN</x:v>
      </x:c>
      <x:c r="C6" s="2" t="str">
        <x:v>HO90-0001</x:v>
      </x:c>
      <x:c r="D6" s="2" t="str">
        <x:v>Matched</x:v>
      </x:c>
      <x:c r="E6" s="11" t="n">
        <x:v>44000</x:v>
      </x:c>
      <x:c r="F6" s="11"/>
      <x:c r="G6" s="11" t="str">
        <x:f>IF(ISNUMBER(F6),F6-E6,"")</x:f>
      </x:c>
      <x:c r="H6" s="17" t="n">
        <x:v>200</x:v>
      </x:c>
      <x:c r="I6" s="2" t="n">
        <x:v>8746</x:v>
      </x:c>
      <x:c r="J6" s="17" t="n">
        <x:f>IF(ISNUMBER(I6),ROUND(I6/60,2),"")</x:f>
        <x:v>145.77</x:v>
      </x:c>
      <x:c r="K6" s="17" t="n">
        <x:f>IF(ISNUMBER(J6),ROUND(J6-H6,2),"")</x:f>
        <x:v>-54.23</x:v>
      </x:c>
      <x:c r="L6" s="11" t="n">
        <x:v>0</x:v>
      </x:c>
      <x:c r="M6" s="11"/>
      <x:c r="N6" s="11" t="str">
        <x:f>IF(ISNUMBER(M6),M6-L6,"")</x:f>
      </x:c>
      <x:c r="O6" s="11"/>
      <x:c r="P6" s="11"/>
      <x:c r="Q6" s="11"/>
      <x:c r="R6" s="11"/>
      <x:c r="S6" s="11"/>
      <x:c r="T6" s="11"/>
      <x:c r="U6" s="11" t="n">
        <x:v>50</x:v>
      </x:c>
      <x:c r="V6" s="11"/>
      <x:c r="W6" s="11"/>
      <x:c r="X6" s="11"/>
      <x:c r="Y6" s="11" t="n">
        <x:v>44140</x:v>
      </x:c>
      <x:c r="Z6" s="11" t="n">
        <x:v>50</x:v>
      </x:c>
      <x:c r="AA6" s="11" t="n">
        <x:v>44090</x:v>
      </x:c>
      <x:c r="AB6" s="11"/>
      <x:c r="AC6" s="2" t="n">
        <x:v>0</x:v>
      </x:c>
      <x:c r="AD6" s="2" t="n">
        <x:v>8</x:v>
      </x:c>
      <x:c r="AE6" s="2" t="n">
        <x:v>0</x:v>
      </x:c>
      <x:c r="AF6" s="2" t="str">
        <x:v>Missing</x:v>
      </x:c>
      <x:c r="AG6" s="2" t="str">
        <x:v>Not saved</x:v>
      </x:c>
      <x:c r="AH6" s="2" t="str">
        <x:v>Needs review</x:v>
      </x:c>
      <x:c r="AI6" s="2" t="n">
        <x:v>1</x:v>
      </x:c>
      <x:c r="AJ6" s="2" t="n">
        <x:v>0</x:v>
      </x:c>
      <x:c r="AK6" s="2" t="n">
        <x:v>4</x:v>
      </x:c>
      <x:c r="AL6" s="2" t="n">
        <x:v>4</x:v>
      </x:c>
      <x:c r="AM6" s="2" t="n">
        <x:v>1</x:v>
      </x:c>
      <x:c r="AN6" s="2" t="n">
        <x:v>0</x:v>
      </x:c>
      <x:c r="AO6" s="17" t="n">
        <x:v>30</x:v>
      </x:c>
      <x:c r="AP6" s="17" t="n">
        <x:v>22</x:v>
      </x:c>
      <x:c r="AQ6" s="2" t="str">
        <x:v>Abhilash Cheriyan</x:v>
      </x:c>
      <x:c r="AR6" s="12" t="str">
        <x:v>Name + Linked device code</x:v>
      </x:c>
      <x:c r="AS6" s="12" t="str">
        <x:v>Salary missing; Inputs missing</x:v>
      </x:c>
    </x:row>
    <x:row r="7" ht="32" customHeight="1">
      <x:c r="A7" s="2" t="n">
        <x:v>4</x:v>
      </x:c>
      <x:c r="B7" s="2" t="str">
        <x:v>AKSHAY DAS</x:v>
      </x:c>
      <x:c r="C7" s="2" t="str">
        <x:v>HO90-0002</x:v>
      </x:c>
      <x:c r="D7" s="2" t="str">
        <x:v>Matched</x:v>
      </x:c>
      <x:c r="E7" s="11" t="n">
        <x:v>15000</x:v>
      </x:c>
      <x:c r="F7" s="11"/>
      <x:c r="G7" s="11" t="str">
        <x:f>IF(ISNUMBER(F7),F7-E7,"")</x:f>
      </x:c>
      <x:c r="H7" s="17" t="n">
        <x:v>191</x:v>
      </x:c>
      <x:c r="I7" s="2" t="n">
        <x:v>11103</x:v>
      </x:c>
      <x:c r="J7" s="17" t="n">
        <x:f>IF(ISNUMBER(I7),ROUND(I7/60,2),"")</x:f>
        <x:v>185.05</x:v>
      </x:c>
      <x:c r="K7" s="17" t="n">
        <x:f>IF(ISNUMBER(J7),ROUND(J7-H7,2),"")</x:f>
        <x:v>-5.95</x:v>
      </x:c>
      <x:c r="L7" s="11" t="n">
        <x:v>0</x:v>
      </x:c>
      <x:c r="M7" s="11"/>
      <x:c r="N7" s="11" t="str">
        <x:f>IF(ISNUMBER(M7),M7-L7,"")</x:f>
      </x:c>
      <x:c r="O7" s="11"/>
      <x:c r="P7" s="11"/>
      <x:c r="Q7" s="11"/>
      <x:c r="R7" s="11"/>
      <x:c r="S7" s="11"/>
      <x:c r="T7" s="11"/>
      <x:c r="U7" s="11" t="n">
        <x:v>50</x:v>
      </x:c>
      <x:c r="V7" s="11"/>
      <x:c r="W7" s="11"/>
      <x:c r="X7" s="11"/>
      <x:c r="Y7" s="11" t="n">
        <x:v>14497</x:v>
      </x:c>
      <x:c r="Z7" s="11" t="n">
        <x:v>50</x:v>
      </x:c>
      <x:c r="AA7" s="11" t="n">
        <x:v>14447</x:v>
      </x:c>
      <x:c r="AB7" s="11"/>
      <x:c r="AC7" s="2" t="n">
        <x:v>0</x:v>
      </x:c>
      <x:c r="AD7" s="2" t="n">
        <x:v>1</x:v>
      </x:c>
      <x:c r="AE7" s="2" t="n">
        <x:v>0</x:v>
      </x:c>
      <x:c r="AF7" s="2" t="str">
        <x:v>Missing</x:v>
      </x:c>
      <x:c r="AG7" s="2" t="str">
        <x:v>Not saved</x:v>
      </x:c>
      <x:c r="AH7" s="2" t="str">
        <x:v>Needs review</x:v>
      </x:c>
      <x:c r="AI7" s="2" t="n">
        <x:v>1</x:v>
      </x:c>
      <x:c r="AJ7" s="2" t="n">
        <x:v>0</x:v>
      </x:c>
      <x:c r="AK7" s="2" t="n">
        <x:v>4</x:v>
      </x:c>
      <x:c r="AL7" s="2" t="n">
        <x:v>4</x:v>
      </x:c>
      <x:c r="AM7" s="2" t="n">
        <x:v>1</x:v>
      </x:c>
      <x:c r="AN7" s="2" t="n">
        <x:v>0</x:v>
      </x:c>
      <x:c r="AO7" s="17" t="n">
        <x:v>29</x:v>
      </x:c>
      <x:c r="AP7" s="17" t="n">
        <x:v>27</x:v>
      </x:c>
      <x:c r="AQ7" s="2" t="str">
        <x:v>Akshay Das</x:v>
      </x:c>
      <x:c r="AR7" s="12" t="str">
        <x:v>Name + Linked device code</x:v>
      </x:c>
      <x:c r="AS7" s="12" t="str">
        <x:v>Salary missing; Inputs missing</x:v>
      </x:c>
    </x:row>
    <x:row r="8" ht="32" customHeight="1">
      <x:c r="A8" s="2" t="n">
        <x:v>5</x:v>
      </x:c>
      <x:c r="B8" s="2" t="str">
        <x:v>ANNA JOSE</x:v>
      </x:c>
      <x:c r="C8" s="2" t="str">
        <x:v>HO90-0004</x:v>
      </x:c>
      <x:c r="D8" s="2" t="str">
        <x:v>Matched</x:v>
      </x:c>
      <x:c r="E8" s="11" t="n">
        <x:v>20000</x:v>
      </x:c>
      <x:c r="F8" s="11"/>
      <x:c r="G8" s="11" t="str">
        <x:f>IF(ISNUMBER(F8),F8-E8,"")</x:f>
      </x:c>
      <x:c r="H8" s="17" t="n">
        <x:v>86</x:v>
      </x:c>
      <x:c r="I8" s="2" t="n">
        <x:v>4786</x:v>
      </x:c>
      <x:c r="J8" s="17" t="n">
        <x:f>IF(ISNUMBER(I8),ROUND(I8/60,2),"")</x:f>
        <x:v>79.77</x:v>
      </x:c>
      <x:c r="K8" s="17" t="n">
        <x:f>IF(ISNUMBER(J8),ROUND(J8-H8,2),"")</x:f>
        <x:v>-6.23</x:v>
      </x:c>
      <x:c r="L8" s="11" t="n">
        <x:v>0</x:v>
      </x:c>
      <x:c r="M8" s="11"/>
      <x:c r="N8" s="11" t="str">
        <x:f>IF(ISNUMBER(M8),M8-L8,"")</x:f>
      </x:c>
      <x:c r="O8" s="11"/>
      <x:c r="P8" s="11"/>
      <x:c r="Q8" s="11"/>
      <x:c r="R8" s="11"/>
      <x:c r="S8" s="11"/>
      <x:c r="T8" s="11"/>
      <x:c r="U8" s="11" t="n">
        <x:v>50</x:v>
      </x:c>
      <x:c r="V8" s="11"/>
      <x:c r="W8" s="11"/>
      <x:c r="X8" s="11"/>
      <x:c r="Y8" s="11" t="n">
        <x:v>8250</x:v>
      </x:c>
      <x:c r="Z8" s="11" t="n">
        <x:v>50</x:v>
      </x:c>
      <x:c r="AA8" s="11" t="n">
        <x:v>8200</x:v>
      </x:c>
      <x:c r="AB8" s="11"/>
      <x:c r="AC8" s="2" t="n">
        <x:v>2</x:v>
      </x:c>
      <x:c r="AD8" s="2" t="n">
        <x:v>3</x:v>
      </x:c>
      <x:c r="AE8" s="2" t="n">
        <x:v>0</x:v>
      </x:c>
      <x:c r="AF8" s="2" t="str">
        <x:v>Missing</x:v>
      </x:c>
      <x:c r="AG8" s="2" t="str">
        <x:v>Not saved</x:v>
      </x:c>
      <x:c r="AH8" s="2" t="str">
        <x:v>Needs review</x:v>
      </x:c>
      <x:c r="AI8" s="2" t="n">
        <x:v>1</x:v>
      </x:c>
      <x:c r="AJ8" s="2" t="n">
        <x:v>0</x:v>
      </x:c>
      <x:c r="AK8" s="2" t="n">
        <x:v>1</x:v>
      </x:c>
      <x:c r="AL8" s="2" t="n">
        <x:v>3</x:v>
      </x:c>
      <x:c r="AM8" s="2" t="n">
        <x:v>0</x:v>
      </x:c>
      <x:c r="AN8" s="2" t="n">
        <x:v>0</x:v>
      </x:c>
      <x:c r="AO8" s="17" t="n">
        <x:v>12.5</x:v>
      </x:c>
      <x:c r="AP8" s="17" t="n">
        <x:v>16</x:v>
      </x:c>
      <x:c r="AQ8" s="2" t="str">
        <x:v>Anna Jose</x:v>
      </x:c>
      <x:c r="AR8" s="12" t="str">
        <x:v>Name + Linked device code</x:v>
      </x:c>
      <x:c r="AS8" s="12" t="str">
        <x:v>Salary missing; Inputs missing</x:v>
      </x:c>
    </x:row>
    <x:row r="9" ht="32" customHeight="1">
      <x:c r="A9" s="2" t="n">
        <x:v>6</x:v>
      </x:c>
      <x:c r="B9" s="2" t="str">
        <x:v>ARYA K S</x:v>
      </x:c>
      <x:c r="C9" s="2" t="str">
        <x:v>HO90-0005</x:v>
      </x:c>
      <x:c r="D9" s="2" t="str">
        <x:v>Matched</x:v>
      </x:c>
      <x:c r="E9" s="11" t="n">
        <x:v>30000</x:v>
      </x:c>
      <x:c r="F9" s="11"/>
      <x:c r="G9" s="11" t="str">
        <x:f>IF(ISNUMBER(F9),F9-E9,"")</x:f>
      </x:c>
      <x:c r="H9" s="17" t="n">
        <x:v>197</x:v>
      </x:c>
      <x:c r="I9" s="2" t="n">
        <x:v>0</x:v>
      </x:c>
      <x:c r="J9" s="17" t="n">
        <x:f>IF(ISNUMBER(I9),ROUND(I9/60,2),"")</x:f>
        <x:v>0</x:v>
      </x:c>
      <x:c r="K9" s="17" t="n">
        <x:f>IF(ISNUMBER(J9),ROUND(J9-H9,2),"")</x:f>
        <x:v>-197</x:v>
      </x:c>
      <x:c r="L9" s="11" t="n">
        <x:v>0</x:v>
      </x:c>
      <x:c r="M9" s="11"/>
      <x:c r="N9" s="11" t="str">
        <x:f>IF(ISNUMBER(M9),M9-L9,"")</x:f>
      </x:c>
      <x:c r="O9" s="11"/>
      <x:c r="P9" s="11"/>
      <x:c r="Q9" s="11"/>
      <x:c r="R9" s="11"/>
      <x:c r="S9" s="11"/>
      <x:c r="T9" s="11"/>
      <x:c r="U9" s="11" t="n">
        <x:v>50</x:v>
      </x:c>
      <x:c r="V9" s="11"/>
      <x:c r="W9" s="11"/>
      <x:c r="X9" s="11"/>
      <x:c r="Y9" s="11" t="n">
        <x:v>28740</x:v>
      </x:c>
      <x:c r="Z9" s="11" t="n">
        <x:v>50</x:v>
      </x:c>
      <x:c r="AA9" s="11" t="n">
        <x:v>28690</x:v>
      </x:c>
      <x:c r="AB9" s="11"/>
      <x:c r="AC9" s="2" t="n">
        <x:v>2</x:v>
      </x:c>
      <x:c r="AD9" s="2" t="n">
        <x:v>0</x:v>
      </x:c>
      <x:c r="AE9" s="2" t="n">
        <x:v>0</x:v>
      </x:c>
      <x:c r="AF9" s="2" t="str">
        <x:v>Missing</x:v>
      </x:c>
      <x:c r="AG9" s="2" t="str">
        <x:v>Not saved</x:v>
      </x:c>
      <x:c r="AH9" s="2" t="str">
        <x:v>Needs review</x:v>
      </x:c>
      <x:c r="AI9" s="2" t="n">
        <x:v>1</x:v>
      </x:c>
      <x:c r="AJ9" s="2" t="n">
        <x:v>0</x:v>
      </x:c>
      <x:c r="AK9" s="2" t="n">
        <x:v>3</x:v>
      </x:c>
      <x:c r="AL9" s="2" t="n">
        <x:v>3</x:v>
      </x:c>
      <x:c r="AM9" s="2" t="n">
        <x:v>1</x:v>
      </x:c>
      <x:c r="AN9" s="2" t="n">
        <x:v>0</x:v>
      </x:c>
      <x:c r="AO9" s="17" t="n">
        <x:v>27</x:v>
      </x:c>
      <x:c r="AP9" s="17" t="n">
        <x:v>5</x:v>
      </x:c>
      <x:c r="AQ9" s="2" t="str">
        <x:v>Arya K S</x:v>
      </x:c>
      <x:c r="AR9" s="12" t="str">
        <x:v>Name + Linked device code</x:v>
      </x:c>
      <x:c r="AS9" s="12" t="str">
        <x:v>Salary missing; Inputs missing</x:v>
      </x:c>
    </x:row>
    <x:row r="10" ht="32" customHeight="1">
      <x:c r="A10" s="2" t="n">
        <x:v>7</x:v>
      </x:c>
      <x:c r="B10" s="2" t="str">
        <x:v>ASHLY P MATHEW</x:v>
      </x:c>
      <x:c r="C10" s="2" t="str"/>
      <x:c r="D10" s="2" t="str">
        <x:v>Not matched</x:v>
      </x:c>
      <x:c r="E10" s="11" t="n">
        <x:v>14000</x:v>
      </x:c>
      <x:c r="F10" s="11"/>
      <x:c r="G10" s="11" t="str">
        <x:f>IF(ISNUMBER(F10),F10-E10,"")</x:f>
      </x:c>
      <x:c r="H10" s="17" t="n">
        <x:v>232.4</x:v>
      </x:c>
      <x:c r="I10" s="2"/>
      <x:c r="J10" s="17" t="str">
        <x:f>IF(ISNUMBER(I10),ROUND(I10/60,2),"")</x:f>
      </x:c>
      <x:c r="K10" s="17" t="str">
        <x:f>IF(ISNUMBER(J10),ROUND(J10-H10,2),"")</x:f>
      </x:c>
      <x:c r="L10" s="11" t="n">
        <x:v>5853</x:v>
      </x:c>
      <x:c r="M10" s="11"/>
      <x:c r="N10" s="11" t="str">
        <x:f>IF(ISNUMBER(M10),M10-L10,"")</x:f>
      </x:c>
      <x:c r="O10" s="11"/>
      <x:c r="P10" s="11"/>
      <x:c r="Q10" s="11" t="n">
        <x:v>160</x:v>
      </x:c>
      <x:c r="R10" s="11"/>
      <x:c r="S10" s="11"/>
      <x:c r="T10" s="11"/>
      <x:c r="U10" s="11" t="n">
        <x:v>50</x:v>
      </x:c>
      <x:c r="V10" s="11"/>
      <x:c r="W10" s="11"/>
      <x:c r="X10" s="11"/>
      <x:c r="Y10" s="11" t="n">
        <x:v>21274</x:v>
      </x:c>
      <x:c r="Z10" s="11" t="n">
        <x:v>210</x:v>
      </x:c>
      <x:c r="AA10" s="11" t="n">
        <x:v>21064</x:v>
      </x:c>
      <x:c r="AB10" s="11"/>
      <x:c r="AC10" s="2"/>
      <x:c r="AD10" s="2"/>
      <x:c r="AE10" s="2"/>
      <x:c r="AF10" s="2" t="str">
        <x:v>Unmatched</x:v>
      </x:c>
      <x:c r="AG10" s="2" t="str">
        <x:v>Unmatched</x:v>
      </x:c>
      <x:c r="AH10" s="2" t="str">
        <x:v>Not matched</x:v>
      </x:c>
      <x:c r="AI10" s="2" t="n">
        <x:v>1</x:v>
      </x:c>
      <x:c r="AJ10" s="2"/>
      <x:c r="AK10" s="2" t="n">
        <x:v>4</x:v>
      </x:c>
      <x:c r="AL10" s="2"/>
      <x:c r="AM10" s="2" t="n">
        <x:v>0</x:v>
      </x:c>
      <x:c r="AN10" s="2"/>
      <x:c r="AO10" s="17" t="n">
        <x:v>33</x:v>
      </x:c>
      <x:c r="AP10" s="17"/>
      <x:c r="AQ10" s="2" t="str"/>
      <x:c r="AR10" s="12" t="str"/>
      <x:c r="AS10" s="12" t="str">
        <x:v>Employee identity needs review</x:v>
      </x:c>
    </x:row>
    <x:row r="11" ht="32" customHeight="1">
      <x:c r="A11" s="2" t="n">
        <x:v>8</x:v>
      </x:c>
      <x:c r="B11" s="2" t="str">
        <x:v>BASIL C MATHEW</x:v>
      </x:c>
      <x:c r="C11" s="2" t="str">
        <x:v>HO90-0007</x:v>
      </x:c>
      <x:c r="D11" s="2" t="str">
        <x:v>Matched</x:v>
      </x:c>
      <x:c r="E11" s="11" t="n">
        <x:v>20000</x:v>
      </x:c>
      <x:c r="F11" s="11"/>
      <x:c r="G11" s="11" t="str">
        <x:f>IF(ISNUMBER(F11),F11-E11,"")</x:f>
      </x:c>
      <x:c r="H11" s="17" t="n">
        <x:v>160</x:v>
      </x:c>
      <x:c r="I11" s="2" t="n">
        <x:v>6933</x:v>
      </x:c>
      <x:c r="J11" s="17" t="n">
        <x:f>IF(ISNUMBER(I11),ROUND(I11/60,2),"")</x:f>
        <x:v>115.55</x:v>
      </x:c>
      <x:c r="K11" s="17" t="n">
        <x:f>IF(ISNUMBER(J11),ROUND(J11-H11,2),"")</x:f>
        <x:v>-44.45</x:v>
      </x:c>
      <x:c r="L11" s="11" t="n">
        <x:v>0</x:v>
      </x:c>
      <x:c r="M11" s="11"/>
      <x:c r="N11" s="11" t="str">
        <x:f>IF(ISNUMBER(M11),M11-L11,"")</x:f>
      </x:c>
      <x:c r="O11" s="11"/>
      <x:c r="P11" s="11"/>
      <x:c r="Q11" s="11"/>
      <x:c r="R11" s="11"/>
      <x:c r="S11" s="11" t="n">
        <x:v>5000</x:v>
      </x:c>
      <x:c r="T11" s="11"/>
      <x:c r="U11" s="11" t="n">
        <x:v>50</x:v>
      </x:c>
      <x:c r="V11" s="11"/>
      <x:c r="W11" s="11"/>
      <x:c r="X11" s="11"/>
      <x:c r="Y11" s="11" t="n">
        <x:v>15534</x:v>
      </x:c>
      <x:c r="Z11" s="11" t="n">
        <x:v>5050</x:v>
      </x:c>
      <x:c r="AA11" s="11" t="n">
        <x:v>10484</x:v>
      </x:c>
      <x:c r="AB11" s="11"/>
      <x:c r="AC11" s="2" t="n">
        <x:v>0</x:v>
      </x:c>
      <x:c r="AD11" s="2" t="n">
        <x:v>6</x:v>
      </x:c>
      <x:c r="AE11" s="2" t="n">
        <x:v>0</x:v>
      </x:c>
      <x:c r="AF11" s="2" t="str">
        <x:v>Missing</x:v>
      </x:c>
      <x:c r="AG11" s="2" t="str">
        <x:v>Not saved</x:v>
      </x:c>
      <x:c r="AH11" s="2" t="str">
        <x:v>Needs review</x:v>
      </x:c>
      <x:c r="AI11" s="2" t="n">
        <x:v>1</x:v>
      </x:c>
      <x:c r="AJ11" s="2" t="n">
        <x:v>0</x:v>
      </x:c>
      <x:c r="AK11" s="2" t="n">
        <x:v>3</x:v>
      </x:c>
      <x:c r="AL11" s="2" t="n">
        <x:v>4</x:v>
      </x:c>
      <x:c r="AM11" s="2" t="n">
        <x:v>0</x:v>
      </x:c>
      <x:c r="AN11" s="2" t="n">
        <x:v>0</x:v>
      </x:c>
      <x:c r="AO11" s="17" t="n">
        <x:v>22.5</x:v>
      </x:c>
      <x:c r="AP11" s="17" t="n">
        <x:v>23</x:v>
      </x:c>
      <x:c r="AQ11" s="2" t="str">
        <x:v>Basil C Mathew</x:v>
      </x:c>
      <x:c r="AR11" s="12" t="str">
        <x:v>Name + Linked device code</x:v>
      </x:c>
      <x:c r="AS11" s="12" t="str">
        <x:v>Salary missing; Inputs missing</x:v>
      </x:c>
    </x:row>
    <x:row r="12" ht="32" customHeight="1">
      <x:c r="A12" s="2" t="n">
        <x:v>9</x:v>
      </x:c>
      <x:c r="B12" s="2" t="str">
        <x:v>CHIKKU SUBRAMANIAN</x:v>
      </x:c>
      <x:c r="C12" s="2" t="str">
        <x:v>HO90-0008</x:v>
      </x:c>
      <x:c r="D12" s="2" t="str">
        <x:v>Matched</x:v>
      </x:c>
      <x:c r="E12" s="11" t="n">
        <x:v>30000</x:v>
      </x:c>
      <x:c r="F12" s="11"/>
      <x:c r="G12" s="11" t="str">
        <x:f>IF(ISNUMBER(F12),F12-E12,"")</x:f>
      </x:c>
      <x:c r="H12" s="17" t="n">
        <x:v>170</x:v>
      </x:c>
      <x:c r="I12" s="2" t="n">
        <x:v>9295</x:v>
      </x:c>
      <x:c r="J12" s="17" t="n">
        <x:f>IF(ISNUMBER(I12),ROUND(I12/60,2),"")</x:f>
        <x:v>154.92</x:v>
      </x:c>
      <x:c r="K12" s="17" t="n">
        <x:f>IF(ISNUMBER(J12),ROUND(J12-H12,2),"")</x:f>
        <x:v>-15.08</x:v>
      </x:c>
      <x:c r="L12" s="11" t="n">
        <x:v>2000</x:v>
      </x:c>
      <x:c r="M12" s="11"/>
      <x:c r="N12" s="11" t="str">
        <x:f>IF(ISNUMBER(M12),M12-L12,"")</x:f>
      </x:c>
      <x:c r="O12" s="11"/>
      <x:c r="P12" s="11"/>
      <x:c r="Q12" s="11"/>
      <x:c r="R12" s="11"/>
      <x:c r="S12" s="11"/>
      <x:c r="T12" s="11"/>
      <x:c r="U12" s="11" t="n">
        <x:v>50</x:v>
      </x:c>
      <x:c r="V12" s="11"/>
      <x:c r="W12" s="11"/>
      <x:c r="X12" s="11"/>
      <x:c r="Y12" s="11" t="n">
        <x:v>27486</x:v>
      </x:c>
      <x:c r="Z12" s="11" t="n">
        <x:v>50</x:v>
      </x:c>
      <x:c r="AA12" s="11" t="n">
        <x:v>27436</x:v>
      </x:c>
      <x:c r="AB12" s="11"/>
      <x:c r="AC12" s="2" t="n">
        <x:v>0</x:v>
      </x:c>
      <x:c r="AD12" s="2" t="n">
        <x:v>3</x:v>
      </x:c>
      <x:c r="AE12" s="2" t="n">
        <x:v>1</x:v>
      </x:c>
      <x:c r="AF12" s="2" t="str">
        <x:v>Missing</x:v>
      </x:c>
      <x:c r="AG12" s="2" t="str">
        <x:v>Not saved</x:v>
      </x:c>
      <x:c r="AH12" s="2" t="str">
        <x:v>Needs review</x:v>
      </x:c>
      <x:c r="AI12" s="2" t="n">
        <x:v>1</x:v>
      </x:c>
      <x:c r="AJ12" s="2" t="n">
        <x:v>0</x:v>
      </x:c>
      <x:c r="AK12" s="2" t="n">
        <x:v>3</x:v>
      </x:c>
      <x:c r="AL12" s="2" t="n">
        <x:v>4</x:v>
      </x:c>
      <x:c r="AM12" s="2" t="n">
        <x:v>1</x:v>
      </x:c>
      <x:c r="AN12" s="2" t="n">
        <x:v>0</x:v>
      </x:c>
      <x:c r="AO12" s="17" t="n">
        <x:v>26</x:v>
      </x:c>
      <x:c r="AP12" s="17" t="n">
        <x:v>25</x:v>
      </x:c>
      <x:c r="AQ12" s="2" t="str">
        <x:v>Chikku Subramanian</x:v>
      </x:c>
      <x:c r="AR12" s="12" t="str">
        <x:v>Name + Linked device code</x:v>
      </x:c>
      <x:c r="AS12" s="12" t="str">
        <x:v>Salary missing; Inputs missing; Recompute pending</x:v>
      </x:c>
    </x:row>
    <x:row r="13" ht="32" customHeight="1">
      <x:c r="A13" s="2" t="n">
        <x:v>10</x:v>
      </x:c>
      <x:c r="B13" s="2" t="str">
        <x:v>GEORGE LAZZAR</x:v>
      </x:c>
      <x:c r="C13" s="2" t="str">
        <x:v>HO90-0009</x:v>
      </x:c>
      <x:c r="D13" s="2" t="str">
        <x:v>Matched</x:v>
      </x:c>
      <x:c r="E13" s="11" t="n">
        <x:v>25000</x:v>
      </x:c>
      <x:c r="F13" s="11"/>
      <x:c r="G13" s="11" t="str">
        <x:f>IF(ISNUMBER(F13),F13-E13,"")</x:f>
      </x:c>
      <x:c r="H13" s="17" t="n">
        <x:v>223</x:v>
      </x:c>
      <x:c r="I13" s="2" t="n">
        <x:v>12873</x:v>
      </x:c>
      <x:c r="J13" s="17" t="n">
        <x:f>IF(ISNUMBER(I13),ROUND(I13/60,2),"")</x:f>
        <x:v>214.55</x:v>
      </x:c>
      <x:c r="K13" s="17" t="n">
        <x:f>IF(ISNUMBER(J13),ROUND(J13-H13,2),"")</x:f>
        <x:v>-8.45</x:v>
      </x:c>
      <x:c r="L13" s="11" t="n">
        <x:v>0</x:v>
      </x:c>
      <x:c r="M13" s="11"/>
      <x:c r="N13" s="11" t="str">
        <x:f>IF(ISNUMBER(M13),M13-L13,"")</x:f>
      </x:c>
      <x:c r="O13" s="11"/>
      <x:c r="P13" s="11"/>
      <x:c r="Q13" s="11"/>
      <x:c r="R13" s="11"/>
      <x:c r="S13" s="11"/>
      <x:c r="T13" s="11"/>
      <x:c r="U13" s="11" t="n">
        <x:v>50</x:v>
      </x:c>
      <x:c r="V13" s="11"/>
      <x:c r="W13" s="11"/>
      <x:c r="X13" s="11"/>
      <x:c r="Y13" s="11" t="n">
        <x:v>27417</x:v>
      </x:c>
      <x:c r="Z13" s="11" t="n">
        <x:v>50</x:v>
      </x:c>
      <x:c r="AA13" s="11" t="n">
        <x:v>27367</x:v>
      </x:c>
      <x:c r="AB13" s="11"/>
      <x:c r="AC13" s="2" t="n">
        <x:v>0</x:v>
      </x:c>
      <x:c r="AD13" s="2" t="n">
        <x:v>3</x:v>
      </x:c>
      <x:c r="AE13" s="2" t="n">
        <x:v>0</x:v>
      </x:c>
      <x:c r="AF13" s="2" t="str">
        <x:v>Missing</x:v>
      </x:c>
      <x:c r="AG13" s="2" t="str">
        <x:v>Not saved</x:v>
      </x:c>
      <x:c r="AH13" s="2" t="str">
        <x:v>Needs review</x:v>
      </x:c>
      <x:c r="AI13" s="2" t="n">
        <x:v>1</x:v>
      </x:c>
      <x:c r="AJ13" s="2" t="n">
        <x:v>0</x:v>
      </x:c>
      <x:c r="AK13" s="2" t="n">
        <x:v>4</x:v>
      </x:c>
      <x:c r="AL13" s="2" t="n">
        <x:v>4</x:v>
      </x:c>
      <x:c r="AM13" s="2" t="n">
        <x:v>1</x:v>
      </x:c>
      <x:c r="AN13" s="2" t="n">
        <x:v>0</x:v>
      </x:c>
      <x:c r="AO13" s="17" t="n">
        <x:v>31</x:v>
      </x:c>
      <x:c r="AP13" s="17" t="n">
        <x:v>29</x:v>
      </x:c>
      <x:c r="AQ13" s="2" t="str">
        <x:v>George Lazzar</x:v>
      </x:c>
      <x:c r="AR13" s="12" t="str">
        <x:v>Name + Linked device code</x:v>
      </x:c>
      <x:c r="AS13" s="12" t="str">
        <x:v>Salary missing; Inputs missing</x:v>
      </x:c>
    </x:row>
    <x:row r="14" ht="32" customHeight="1">
      <x:c r="A14" s="2" t="n">
        <x:v>11</x:v>
      </x:c>
      <x:c r="B14" s="2" t="str">
        <x:v>JISMI BIJU</x:v>
      </x:c>
      <x:c r="C14" s="2" t="str">
        <x:v>PKT-D7286</x:v>
      </x:c>
      <x:c r="D14" s="2" t="str">
        <x:v>Matched</x:v>
      </x:c>
      <x:c r="E14" s="11" t="n">
        <x:v>18000</x:v>
      </x:c>
      <x:c r="F14" s="11"/>
      <x:c r="G14" s="11" t="str">
        <x:f>IF(ISNUMBER(F14),F14-E14,"")</x:f>
      </x:c>
      <x:c r="H14" s="17" t="n">
        <x:v>191</x:v>
      </x:c>
      <x:c r="I14" s="2" t="n">
        <x:v>12094</x:v>
      </x:c>
      <x:c r="J14" s="17" t="n">
        <x:f>IF(ISNUMBER(I14),ROUND(I14/60,2),"")</x:f>
        <x:v>201.57</x:v>
      </x:c>
      <x:c r="K14" s="17" t="n">
        <x:f>IF(ISNUMBER(J14),ROUND(J14-H14,2),"")</x:f>
        <x:v>10.57</x:v>
      </x:c>
      <x:c r="L14" s="11" t="n">
        <x:v>0</x:v>
      </x:c>
      <x:c r="M14" s="11"/>
      <x:c r="N14" s="11" t="str">
        <x:f>IF(ISNUMBER(M14),M14-L14,"")</x:f>
      </x:c>
      <x:c r="O14" s="11"/>
      <x:c r="P14" s="11"/>
      <x:c r="Q14" s="11" t="n">
        <x:v>131</x:v>
      </x:c>
      <x:c r="R14" s="11"/>
      <x:c r="S14" s="11"/>
      <x:c r="T14" s="11"/>
      <x:c r="U14" s="11" t="n">
        <x:v>50</x:v>
      </x:c>
      <x:c r="V14" s="11"/>
      <x:c r="W14" s="11"/>
      <x:c r="X14" s="11"/>
      <x:c r="Y14" s="11" t="n">
        <x:v>17410</x:v>
      </x:c>
      <x:c r="Z14" s="11" t="n">
        <x:v>181</x:v>
      </x:c>
      <x:c r="AA14" s="11" t="n">
        <x:v>17229</x:v>
      </x:c>
      <x:c r="AB14" s="11"/>
      <x:c r="AC14" s="2" t="n">
        <x:v>0</x:v>
      </x:c>
      <x:c r="AD14" s="2" t="n">
        <x:v>2</x:v>
      </x:c>
      <x:c r="AE14" s="2" t="n">
        <x:v>0</x:v>
      </x:c>
      <x:c r="AF14" s="2" t="str">
        <x:v>Missing</x:v>
      </x:c>
      <x:c r="AG14" s="2" t="str">
        <x:v>Not saved</x:v>
      </x:c>
      <x:c r="AH14" s="2" t="str">
        <x:v>Needs review</x:v>
      </x:c>
      <x:c r="AI14" s="2" t="n">
        <x:v>1</x:v>
      </x:c>
      <x:c r="AJ14" s="2" t="n">
        <x:v>0</x:v>
      </x:c>
      <x:c r="AK14" s="2" t="n">
        <x:v>4</x:v>
      </x:c>
      <x:c r="AL14" s="2" t="n">
        <x:v>4</x:v>
      </x:c>
      <x:c r="AM14" s="2" t="n">
        <x:v>1</x:v>
      </x:c>
      <x:c r="AN14" s="2" t="n">
        <x:v>0</x:v>
      </x:c>
      <x:c r="AO14" s="17" t="n">
        <x:v>29</x:v>
      </x:c>
      <x:c r="AP14" s="17" t="n">
        <x:v>28</x:v>
      </x:c>
      <x:c r="AQ14" s="2" t="str">
        <x:v>Jismy Biju</x:v>
      </x:c>
      <x:c r="AR14" s="12" t="str">
        <x:v>Linked device code</x:v>
      </x:c>
      <x:c r="AS14" s="12" t="str">
        <x:v>Salary missing; Inputs missing</x:v>
      </x:c>
    </x:row>
    <x:row r="15" ht="32" customHeight="1">
      <x:c r="A15" s="2" t="n">
        <x:v>12</x:v>
      </x:c>
      <x:c r="B15" s="2" t="str">
        <x:v>JISMI THOMAS</x:v>
      </x:c>
      <x:c r="C15" s="2" t="str"/>
      <x:c r="D15" s="2" t="str">
        <x:v>Not matched</x:v>
      </x:c>
      <x:c r="E15" s="11" t="n">
        <x:v>25000</x:v>
      </x:c>
      <x:c r="F15" s="11"/>
      <x:c r="G15" s="11" t="str">
        <x:f>IF(ISNUMBER(F15),F15-E15,"")</x:f>
      </x:c>
      <x:c r="H15" s="17" t="n">
        <x:v>199.45</x:v>
      </x:c>
      <x:c r="I15" s="2"/>
      <x:c r="J15" s="17" t="str">
        <x:f>IF(ISNUMBER(I15),ROUND(I15/60,2),"")</x:f>
      </x:c>
      <x:c r="K15" s="17" t="str">
        <x:f>IF(ISNUMBER(J15),ROUND(J15-H15,2),"")</x:f>
      </x:c>
      <x:c r="L15" s="11" t="n">
        <x:v>0</x:v>
      </x:c>
      <x:c r="M15" s="11"/>
      <x:c r="N15" s="11" t="str">
        <x:f>IF(ISNUMBER(M15),M15-L15,"")</x:f>
      </x:c>
      <x:c r="O15" s="11"/>
      <x:c r="P15" s="11"/>
      <x:c r="Q15" s="11"/>
      <x:c r="R15" s="11"/>
      <x:c r="S15" s="11"/>
      <x:c r="T15" s="11"/>
      <x:c r="U15" s="11" t="n">
        <x:v>50</x:v>
      </x:c>
      <x:c r="V15" s="11"/>
      <x:c r="W15" s="11"/>
      <x:c r="X15" s="11"/>
      <x:c r="Y15" s="11" t="n">
        <x:v>25050</x:v>
      </x:c>
      <x:c r="Z15" s="11" t="n">
        <x:v>50</x:v>
      </x:c>
      <x:c r="AA15" s="11" t="n">
        <x:v>25000</x:v>
      </x:c>
      <x:c r="AB15" s="11"/>
      <x:c r="AC15" s="2"/>
      <x:c r="AD15" s="2"/>
      <x:c r="AE15" s="2"/>
      <x:c r="AF15" s="2" t="str">
        <x:v>Unmatched</x:v>
      </x:c>
      <x:c r="AG15" s="2" t="str">
        <x:v>Unmatched</x:v>
      </x:c>
      <x:c r="AH15" s="2" t="str">
        <x:v>Not matched</x:v>
      </x:c>
      <x:c r="AI15" s="2" t="n">
        <x:v>1</x:v>
      </x:c>
      <x:c r="AJ15" s="2"/>
      <x:c r="AK15" s="2" t="n">
        <x:v>4</x:v>
      </x:c>
      <x:c r="AL15" s="2"/>
      <x:c r="AM15" s="2" t="n">
        <x:v>1</x:v>
      </x:c>
      <x:c r="AN15" s="2"/>
      <x:c r="AO15" s="17" t="n">
        <x:v>32</x:v>
      </x:c>
      <x:c r="AP15" s="17"/>
      <x:c r="AQ15" s="2" t="str"/>
      <x:c r="AR15" s="12" t="str"/>
      <x:c r="AS15" s="12" t="str">
        <x:v>Employee identity needs review</x:v>
      </x:c>
    </x:row>
    <x:row r="16" ht="32" customHeight="1">
      <x:c r="A16" s="2" t="n">
        <x:v>13</x:v>
      </x:c>
      <x:c r="B16" s="2" t="str">
        <x:v>JOSEPH JAMES</x:v>
      </x:c>
      <x:c r="C16" s="2" t="str"/>
      <x:c r="D16" s="2" t="str">
        <x:v>Not matched</x:v>
      </x:c>
      <x:c r="E16" s="11" t="n">
        <x:v>50000</x:v>
      </x:c>
      <x:c r="F16" s="11"/>
      <x:c r="G16" s="11" t="str">
        <x:f>IF(ISNUMBER(F16),F16-E16,"")</x:f>
      </x:c>
      <x:c r="H16" s="17" t="n">
        <x:v>224</x:v>
      </x:c>
      <x:c r="I16" s="2"/>
      <x:c r="J16" s="17" t="str">
        <x:f>IF(ISNUMBER(I16),ROUND(I16/60,2),"")</x:f>
      </x:c>
      <x:c r="K16" s="17" t="str">
        <x:f>IF(ISNUMBER(J16),ROUND(J16-H16,2),"")</x:f>
      </x:c>
      <x:c r="L16" s="11" t="n">
        <x:v>0</x:v>
      </x:c>
      <x:c r="M16" s="11"/>
      <x:c r="N16" s="11" t="str">
        <x:f>IF(ISNUMBER(M16),M16-L16,"")</x:f>
      </x:c>
      <x:c r="O16" s="11"/>
      <x:c r="P16" s="11"/>
      <x:c r="Q16" s="11"/>
      <x:c r="R16" s="11"/>
      <x:c r="S16" s="11"/>
      <x:c r="T16" s="11"/>
      <x:c r="U16" s="11" t="n">
        <x:v>50</x:v>
      </x:c>
      <x:c r="V16" s="11"/>
      <x:c r="W16" s="11"/>
      <x:c r="X16" s="11"/>
      <x:c r="Y16" s="11" t="n">
        <x:v>54980</x:v>
      </x:c>
      <x:c r="Z16" s="11" t="n">
        <x:v>50</x:v>
      </x:c>
      <x:c r="AA16" s="11" t="n">
        <x:v>54930</x:v>
      </x:c>
      <x:c r="AB16" s="11"/>
      <x:c r="AC16" s="2"/>
      <x:c r="AD16" s="2"/>
      <x:c r="AE16" s="2"/>
      <x:c r="AF16" s="2" t="str">
        <x:v>Unmatched</x:v>
      </x:c>
      <x:c r="AG16" s="2" t="str">
        <x:v>Unmatched</x:v>
      </x:c>
      <x:c r="AH16" s="2" t="str">
        <x:v>Not matched</x:v>
      </x:c>
      <x:c r="AI16" s="2" t="n">
        <x:v>1</x:v>
      </x:c>
      <x:c r="AJ16" s="2"/>
      <x:c r="AK16" s="2" t="n">
        <x:v>4</x:v>
      </x:c>
      <x:c r="AL16" s="2"/>
      <x:c r="AM16" s="2" t="n">
        <x:v>1</x:v>
      </x:c>
      <x:c r="AN16" s="2"/>
      <x:c r="AO16" s="17" t="n">
        <x:v>33</x:v>
      </x:c>
      <x:c r="AP16" s="17"/>
      <x:c r="AQ16" s="2" t="str"/>
      <x:c r="AR16" s="12" t="str"/>
      <x:c r="AS16" s="12" t="str">
        <x:v>Employee identity needs review</x:v>
      </x:c>
    </x:row>
    <x:row r="17" ht="32" customHeight="1">
      <x:c r="A17" s="2" t="n">
        <x:v>14</x:v>
      </x:c>
      <x:c r="B17" s="2" t="str">
        <x:v>KASINATH</x:v>
      </x:c>
      <x:c r="C17" s="2" t="str">
        <x:v>HO90-D7324</x:v>
      </x:c>
      <x:c r="D17" s="2" t="str">
        <x:v>Matched</x:v>
      </x:c>
      <x:c r="E17" s="11" t="n">
        <x:v>50000</x:v>
      </x:c>
      <x:c r="F17" s="11" t="n">
        <x:v>50000</x:v>
      </x:c>
      <x:c r="G17" s="11" t="n">
        <x:f>IF(ISNUMBER(F17),F17-E17,"")</x:f>
        <x:v>0</x:v>
      </x:c>
      <x:c r="H17" s="17" t="n">
        <x:v>203</x:v>
      </x:c>
      <x:c r="I17" s="2" t="n">
        <x:v>11085</x:v>
      </x:c>
      <x:c r="J17" s="17" t="n">
        <x:f>IF(ISNUMBER(I17),ROUND(I17/60,2),"")</x:f>
        <x:v>184.75</x:v>
      </x:c>
      <x:c r="K17" s="17" t="n">
        <x:f>IF(ISNUMBER(J17),ROUND(J17-H17,2),"")</x:f>
        <x:v>-18.25</x:v>
      </x:c>
      <x:c r="L17" s="11" t="n">
        <x:v>20000</x:v>
      </x:c>
      <x:c r="M17" s="11" t="n">
        <x:v>20000</x:v>
      </x:c>
      <x:c r="N17" s="11" t="n">
        <x:f>IF(ISNUMBER(M17),M17-L17,"")</x:f>
        <x:v>0</x:v>
      </x:c>
      <x:c r="O17" s="11"/>
      <x:c r="P17" s="11"/>
      <x:c r="Q17" s="11"/>
      <x:c r="R17" s="11"/>
      <x:c r="S17" s="11"/>
      <x:c r="T17" s="11" t="n">
        <x:v>0</x:v>
      </x:c>
      <x:c r="U17" s="11" t="n">
        <x:v>50</x:v>
      </x:c>
      <x:c r="V17" s="11" t="n">
        <x:v>0</x:v>
      </x:c>
      <x:c r="W17" s="11"/>
      <x:c r="X17" s="11" t="n">
        <x:v>0</x:v>
      </x:c>
      <x:c r="Y17" s="11" t="n">
        <x:v>69096</x:v>
      </x:c>
      <x:c r="Z17" s="11" t="n">
        <x:v>50</x:v>
      </x:c>
      <x:c r="AA17" s="11" t="n">
        <x:v>69046</x:v>
      </x:c>
      <x:c r="AB17" s="11"/>
      <x:c r="AC17" s="2" t="n">
        <x:v>0</x:v>
      </x:c>
      <x:c r="AD17" s="2" t="n">
        <x:v>5</x:v>
      </x:c>
      <x:c r="AE17" s="2" t="n">
        <x:v>1</x:v>
      </x:c>
      <x:c r="AF17" s="2" t="str">
        <x:v>Saved</x:v>
      </x:c>
      <x:c r="AG17" s="2" t="str">
        <x:v>Saved</x:v>
      </x:c>
      <x:c r="AH17" s="2" t="str">
        <x:v>Needs review</x:v>
      </x:c>
      <x:c r="AI17" s="2" t="n">
        <x:v>1</x:v>
      </x:c>
      <x:c r="AJ17" s="2" t="n">
        <x:v>0</x:v>
      </x:c>
      <x:c r="AK17" s="2" t="n">
        <x:v>3</x:v>
      </x:c>
      <x:c r="AL17" s="2" t="n">
        <x:v>4</x:v>
      </x:c>
      <x:c r="AM17" s="2" t="n">
        <x:v>1</x:v>
      </x:c>
      <x:c r="AN17" s="2" t="n">
        <x:v>0</x:v>
      </x:c>
      <x:c r="AO17" s="17" t="n">
        <x:v>27.5</x:v>
      </x:c>
      <x:c r="AP17" s="17" t="n">
        <x:v>27</x:v>
      </x:c>
      <x:c r="AQ17" s="2" t="str">
        <x:v>Kasinath A</x:v>
      </x:c>
      <x:c r="AR17" s="12" t="str">
        <x:v>Linked device code</x:v>
      </x:c>
      <x:c r="AS17" s="12" t="str">
        <x:v>Recompute pending</x:v>
      </x:c>
    </x:row>
    <x:row r="18" ht="32" customHeight="1">
      <x:c r="A18" s="2" t="n">
        <x:v>15</x:v>
      </x:c>
      <x:c r="B18" s="2" t="str">
        <x:v>KIRAN DEV</x:v>
      </x:c>
      <x:c r="C18" s="2" t="str">
        <x:v>7329</x:v>
      </x:c>
      <x:c r="D18" s="2" t="str">
        <x:v>Matched</x:v>
      </x:c>
      <x:c r="E18" s="11" t="n">
        <x:v>35000</x:v>
      </x:c>
      <x:c r="F18" s="11"/>
      <x:c r="G18" s="11" t="str">
        <x:f>IF(ISNUMBER(F18),F18-E18,"")</x:f>
      </x:c>
      <x:c r="H18" s="17" t="n">
        <x:v>236</x:v>
      </x:c>
      <x:c r="I18" s="2" t="n">
        <x:v>12833</x:v>
      </x:c>
      <x:c r="J18" s="17" t="n">
        <x:f>IF(ISNUMBER(I18),ROUND(I18/60,2),"")</x:f>
        <x:v>213.88</x:v>
      </x:c>
      <x:c r="K18" s="17" t="n">
        <x:f>IF(ISNUMBER(J18),ROUND(J18-H18,2),"")</x:f>
        <x:v>-22.12</x:v>
      </x:c>
      <x:c r="L18" s="11" t="n">
        <x:v>0</x:v>
      </x:c>
      <x:c r="M18" s="11"/>
      <x:c r="N18" s="11" t="str">
        <x:f>IF(ISNUMBER(M18),M18-L18,"")</x:f>
      </x:c>
      <x:c r="O18" s="11"/>
      <x:c r="P18" s="11"/>
      <x:c r="Q18" s="11"/>
      <x:c r="R18" s="11"/>
      <x:c r="S18" s="11"/>
      <x:c r="T18" s="11"/>
      <x:c r="U18" s="11" t="n">
        <x:v>50</x:v>
      </x:c>
      <x:c r="V18" s="11"/>
      <x:c r="W18" s="11"/>
      <x:c r="X18" s="11"/>
      <x:c r="Y18" s="11" t="n">
        <x:v>40184</x:v>
      </x:c>
      <x:c r="Z18" s="11" t="n">
        <x:v>50</x:v>
      </x:c>
      <x:c r="AA18" s="11" t="n">
        <x:v>40134</x:v>
      </x:c>
      <x:c r="AB18" s="11"/>
      <x:c r="AC18" s="2" t="n">
        <x:v>0</x:v>
      </x:c>
      <x:c r="AD18" s="2" t="n">
        <x:v>7</x:v>
      </x:c>
      <x:c r="AE18" s="2" t="n">
        <x:v>0</x:v>
      </x:c>
      <x:c r="AF18" s="2" t="str">
        <x:v>Missing</x:v>
      </x:c>
      <x:c r="AG18" s="2" t="str">
        <x:v>Not saved</x:v>
      </x:c>
      <x:c r="AH18" s="2" t="str">
        <x:v>Needs review</x:v>
      </x:c>
      <x:c r="AI18" s="2" t="n">
        <x:v>1</x:v>
      </x:c>
      <x:c r="AJ18" s="2" t="n">
        <x:v>0</x:v>
      </x:c>
      <x:c r="AK18" s="2" t="n">
        <x:v>4</x:v>
      </x:c>
      <x:c r="AL18" s="2" t="n">
        <x:v>4</x:v>
      </x:c>
      <x:c r="AM18" s="2" t="n">
        <x:v>1</x:v>
      </x:c>
      <x:c r="AN18" s="2" t="n">
        <x:v>0</x:v>
      </x:c>
      <x:c r="AO18" s="17" t="n">
        <x:v>33</x:v>
      </x:c>
      <x:c r="AP18" s="17" t="n">
        <x:v>29</x:v>
      </x:c>
      <x:c r="AQ18" s="2" t="str">
        <x:v>KIRAN DEV A C</x:v>
      </x:c>
      <x:c r="AR18" s="12" t="str">
        <x:v>Employee code + Linked device code</x:v>
      </x:c>
      <x:c r="AS18" s="12" t="str">
        <x:v>Salary missing; Inputs missing</x:v>
      </x:c>
    </x:row>
    <x:row r="19" ht="32" customHeight="1">
      <x:c r="A19" s="2" t="n">
        <x:v>16</x:v>
      </x:c>
      <x:c r="B19" s="2" t="str">
        <x:v>LATHIKA VELAYUDHAN</x:v>
      </x:c>
      <x:c r="C19" s="2" t="str">
        <x:v>HO90-0012</x:v>
      </x:c>
      <x:c r="D19" s="2" t="str">
        <x:v>Matched</x:v>
      </x:c>
      <x:c r="E19" s="11" t="n">
        <x:v>19000</x:v>
      </x:c>
      <x:c r="F19" s="11"/>
      <x:c r="G19" s="11" t="str">
        <x:f>IF(ISNUMBER(F19),F19-E19,"")</x:f>
      </x:c>
      <x:c r="H19" s="17" t="n">
        <x:v>189</x:v>
      </x:c>
      <x:c r="I19" s="2" t="n">
        <x:v>11494</x:v>
      </x:c>
      <x:c r="J19" s="17" t="n">
        <x:f>IF(ISNUMBER(I19),ROUND(I19/60,2),"")</x:f>
        <x:v>191.57</x:v>
      </x:c>
      <x:c r="K19" s="17" t="n">
        <x:f>IF(ISNUMBER(J19),ROUND(J19-H19,2),"")</x:f>
        <x:v>2.57</x:v>
      </x:c>
      <x:c r="L19" s="11" t="n">
        <x:v>0</x:v>
      </x:c>
      <x:c r="M19" s="11"/>
      <x:c r="N19" s="11" t="str">
        <x:f>IF(ISNUMBER(M19),M19-L19,"")</x:f>
      </x:c>
      <x:c r="O19" s="11" t="n">
        <x:v>1982</x:v>
      </x:c>
      <x:c r="P19" s="11"/>
      <x:c r="Q19" s="11" t="n">
        <x:v>137</x:v>
      </x:c>
      <x:c r="R19" s="11"/>
      <x:c r="S19" s="11"/>
      <x:c r="T19" s="11"/>
      <x:c r="U19" s="11" t="n">
        <x:v>50</x:v>
      </x:c>
      <x:c r="V19" s="11"/>
      <x:c r="W19" s="11"/>
      <x:c r="X19" s="11"/>
      <x:c r="Y19" s="11" t="n">
        <x:v>18245</x:v>
      </x:c>
      <x:c r="Z19" s="11" t="n">
        <x:v>2169</x:v>
      </x:c>
      <x:c r="AA19" s="11" t="n">
        <x:v>16076</x:v>
      </x:c>
      <x:c r="AB19" s="11"/>
      <x:c r="AC19" s="2" t="n">
        <x:v>0</x:v>
      </x:c>
      <x:c r="AD19" s="2" t="n">
        <x:v>2</x:v>
      </x:c>
      <x:c r="AE19" s="2" t="n">
        <x:v>0</x:v>
      </x:c>
      <x:c r="AF19" s="2" t="str">
        <x:v>Missing</x:v>
      </x:c>
      <x:c r="AG19" s="2" t="str">
        <x:v>Not saved</x:v>
      </x:c>
      <x:c r="AH19" s="2" t="str">
        <x:v>Needs review</x:v>
      </x:c>
      <x:c r="AI19" s="2" t="n">
        <x:v>1</x:v>
      </x:c>
      <x:c r="AJ19" s="2" t="n">
        <x:v>0</x:v>
      </x:c>
      <x:c r="AK19" s="2" t="n">
        <x:v>4</x:v>
      </x:c>
      <x:c r="AL19" s="2" t="n">
        <x:v>4</x:v>
      </x:c>
      <x:c r="AM19" s="2" t="n">
        <x:v>1</x:v>
      </x:c>
      <x:c r="AN19" s="2" t="n">
        <x:v>0</x:v>
      </x:c>
      <x:c r="AO19" s="17" t="n">
        <x:v>29</x:v>
      </x:c>
      <x:c r="AP19" s="17" t="n">
        <x:v>27</x:v>
      </x:c>
      <x:c r="AQ19" s="2" t="str">
        <x:v>Lathika Velayudhan</x:v>
      </x:c>
      <x:c r="AR19" s="12" t="str">
        <x:v>Name + Linked device code</x:v>
      </x:c>
      <x:c r="AS19" s="12" t="str">
        <x:v>Salary missing; Inputs missing</x:v>
      </x:c>
    </x:row>
    <x:row r="20" ht="32" customHeight="1">
      <x:c r="A20" s="2" t="n">
        <x:v>17</x:v>
      </x:c>
      <x:c r="B20" s="2" t="str">
        <x:v>MALLIKA</x:v>
      </x:c>
      <x:c r="C20" s="2" t="str">
        <x:v>HO90-0013</x:v>
      </x:c>
      <x:c r="D20" s="2" t="str">
        <x:v>Matched</x:v>
      </x:c>
      <x:c r="E20" s="11" t="n">
        <x:v>18000</x:v>
      </x:c>
      <x:c r="F20" s="11"/>
      <x:c r="G20" s="11" t="str">
        <x:f>IF(ISNUMBER(F20),F20-E20,"")</x:f>
      </x:c>
      <x:c r="H20" s="17" t="n">
        <x:v>0</x:v>
      </x:c>
      <x:c r="I20" s="2" t="n">
        <x:v>0</x:v>
      </x:c>
      <x:c r="J20" s="17" t="n">
        <x:f>IF(ISNUMBER(I20),ROUND(I20/60,2),"")</x:f>
        <x:v>0</x:v>
      </x:c>
      <x:c r="K20" s="17" t="n">
        <x:f>IF(ISNUMBER(J20),ROUND(J20-H20,2),"")</x:f>
        <x:v>0</x:v>
      </x:c>
      <x:c r="L20" s="11" t="n">
        <x:v>0</x:v>
      </x:c>
      <x:c r="M20" s="11"/>
      <x:c r="N20" s="11" t="str">
        <x:f>IF(ISNUMBER(M20),M20-L20,"")</x:f>
      </x:c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 t="n">
        <x:v>0</x:v>
      </x:c>
      <x:c r="Z20" s="11" t="n">
        <x:v>0</x:v>
      </x:c>
      <x:c r="AA20" s="11" t="n">
        <x:v>0</x:v>
      </x:c>
      <x:c r="AB20" s="11"/>
      <x:c r="AC20" s="2" t="n">
        <x:v>2</x:v>
      </x:c>
      <x:c r="AD20" s="2" t="n">
        <x:v>0</x:v>
      </x:c>
      <x:c r="AE20" s="2" t="n">
        <x:v>0</x:v>
      </x:c>
      <x:c r="AF20" s="2" t="str">
        <x:v>Missing</x:v>
      </x:c>
      <x:c r="AG20" s="2" t="str">
        <x:v>Not saved</x:v>
      </x:c>
      <x:c r="AH20" s="2" t="str">
        <x:v>Needs review</x:v>
      </x:c>
      <x:c r="AI20" s="2" t="n">
        <x:v>0</x:v>
      </x:c>
      <x:c r="AJ20" s="2" t="n">
        <x:v>0</x:v>
      </x:c>
      <x:c r="AK20" s="2" t="n">
        <x:v>0</x:v>
      </x:c>
      <x:c r="AL20" s="2" t="n">
        <x:v>3</x:v>
      </x:c>
      <x:c r="AM20" s="2" t="n">
        <x:v>0</x:v>
      </x:c>
      <x:c r="AN20" s="2" t="n">
        <x:v>0</x:v>
      </x:c>
      <x:c r="AO20" s="17" t="n">
        <x:v>0</x:v>
      </x:c>
      <x:c r="AP20" s="17" t="n">
        <x:v>5</x:v>
      </x:c>
      <x:c r="AQ20" s="2" t="str">
        <x:v>Mallika</x:v>
      </x:c>
      <x:c r="AR20" s="12" t="str">
        <x:v>Name + Linked device code</x:v>
      </x:c>
      <x:c r="AS20" s="12" t="str">
        <x:v>Salary missing; Inputs missing</x:v>
      </x:c>
    </x:row>
    <x:row r="21" ht="32" customHeight="1">
      <x:c r="A21" s="2" t="n">
        <x:v>18</x:v>
      </x:c>
      <x:c r="B21" s="2" t="str">
        <x:v>MOHAMMED ANEES</x:v>
      </x:c>
      <x:c r="C21" s="2" t="str"/>
      <x:c r="D21" s="2" t="str">
        <x:v>Not matched</x:v>
      </x:c>
      <x:c r="E21" s="11" t="n">
        <x:v>65000</x:v>
      </x:c>
      <x:c r="F21" s="11"/>
      <x:c r="G21" s="11" t="str">
        <x:f>IF(ISNUMBER(F21),F21-E21,"")</x:f>
      </x:c>
      <x:c r="H21" s="17" t="n">
        <x:v>193</x:v>
      </x:c>
      <x:c r="I21" s="2"/>
      <x:c r="J21" s="17" t="str">
        <x:f>IF(ISNUMBER(I21),ROUND(I21/60,2),"")</x:f>
      </x:c>
      <x:c r="K21" s="17" t="str">
        <x:f>IF(ISNUMBER(J21),ROUND(J21-H21,2),"")</x:f>
      </x:c>
      <x:c r="L21" s="11" t="n">
        <x:v>0</x:v>
      </x:c>
      <x:c r="M21" s="11"/>
      <x:c r="N21" s="11" t="str">
        <x:f>IF(ISNUMBER(M21),M21-L21,"")</x:f>
      </x:c>
      <x:c r="O21" s="11"/>
      <x:c r="P21" s="11"/>
      <x:c r="Q21" s="11"/>
      <x:c r="R21" s="11"/>
      <x:c r="S21" s="11"/>
      <x:c r="T21" s="11"/>
      <x:c r="U21" s="11" t="n">
        <x:v>50</x:v>
      </x:c>
      <x:c r="V21" s="11"/>
      <x:c r="W21" s="11"/>
      <x:c r="X21" s="11"/>
      <x:c r="Y21" s="11" t="n">
        <x:v>63396</x:v>
      </x:c>
      <x:c r="Z21" s="11" t="n">
        <x:v>50</x:v>
      </x:c>
      <x:c r="AA21" s="11" t="n">
        <x:v>63346</x:v>
      </x:c>
      <x:c r="AB21" s="11"/>
      <x:c r="AC21" s="2"/>
      <x:c r="AD21" s="2"/>
      <x:c r="AE21" s="2"/>
      <x:c r="AF21" s="2" t="str">
        <x:v>Unmatched</x:v>
      </x:c>
      <x:c r="AG21" s="2" t="str">
        <x:v>Unmatched</x:v>
      </x:c>
      <x:c r="AH21" s="2" t="str">
        <x:v>Not matched</x:v>
      </x:c>
      <x:c r="AI21" s="2" t="n">
        <x:v>1</x:v>
      </x:c>
      <x:c r="AJ21" s="2"/>
      <x:c r="AK21" s="2" t="n">
        <x:v>4</x:v>
      </x:c>
      <x:c r="AL21" s="2"/>
      <x:c r="AM21" s="2" t="n">
        <x:v>1</x:v>
      </x:c>
      <x:c r="AN21" s="2"/>
      <x:c r="AO21" s="17" t="n">
        <x:v>29</x:v>
      </x:c>
      <x:c r="AP21" s="17"/>
      <x:c r="AQ21" s="2" t="str"/>
      <x:c r="AR21" s="12" t="str"/>
      <x:c r="AS21" s="12" t="str">
        <x:v>Employee identity needs review</x:v>
      </x:c>
    </x:row>
    <x:row r="22" ht="32" customHeight="1">
      <x:c r="A22" s="2" t="n">
        <x:v>19</x:v>
      </x:c>
      <x:c r="B22" s="2" t="str">
        <x:v>NIRMAL TOM</x:v>
      </x:c>
      <x:c r="C22" s="2" t="str">
        <x:v>HO90-D7326</x:v>
      </x:c>
      <x:c r="D22" s="2" t="str">
        <x:v>Matched</x:v>
      </x:c>
      <x:c r="E22" s="11" t="n">
        <x:v>75000</x:v>
      </x:c>
      <x:c r="F22" s="11"/>
      <x:c r="G22" s="11" t="str">
        <x:f>IF(ISNUMBER(F22),F22-E22,"")</x:f>
      </x:c>
      <x:c r="H22" s="17" t="n">
        <x:v>234</x:v>
      </x:c>
      <x:c r="I22" s="2" t="n">
        <x:v>12395</x:v>
      </x:c>
      <x:c r="J22" s="17" t="n">
        <x:f>IF(ISNUMBER(I22),ROUND(I22/60,2),"")</x:f>
        <x:v>206.58</x:v>
      </x:c>
      <x:c r="K22" s="17" t="n">
        <x:f>IF(ISNUMBER(J22),ROUND(J22-H22,2),"")</x:f>
        <x:v>-27.42</x:v>
      </x:c>
      <x:c r="L22" s="11" t="n">
        <x:v>0</x:v>
      </x:c>
      <x:c r="M22" s="11"/>
      <x:c r="N22" s="11" t="str">
        <x:f>IF(ISNUMBER(M22),M22-L22,"")</x:f>
      </x:c>
      <x:c r="O22" s="11"/>
      <x:c r="P22" s="11"/>
      <x:c r="Q22" s="11"/>
      <x:c r="R22" s="11"/>
      <x:c r="S22" s="11"/>
      <x:c r="T22" s="11"/>
      <x:c r="U22" s="11" t="n">
        <x:v>50</x:v>
      </x:c>
      <x:c r="V22" s="11"/>
      <x:c r="W22" s="11"/>
      <x:c r="X22" s="11"/>
      <x:c r="Y22" s="11" t="n">
        <x:v>85481</x:v>
      </x:c>
      <x:c r="Z22" s="11" t="n">
        <x:v>50</x:v>
      </x:c>
      <x:c r="AA22" s="11" t="n">
        <x:v>85431</x:v>
      </x:c>
      <x:c r="AB22" s="11"/>
      <x:c r="AC22" s="2" t="n">
        <x:v>0</x:v>
      </x:c>
      <x:c r="AD22" s="2" t="n">
        <x:v>6</x:v>
      </x:c>
      <x:c r="AE22" s="2" t="n">
        <x:v>0</x:v>
      </x:c>
      <x:c r="AF22" s="2" t="str">
        <x:v>Missing</x:v>
      </x:c>
      <x:c r="AG22" s="2" t="str">
        <x:v>Not saved</x:v>
      </x:c>
      <x:c r="AH22" s="2" t="str">
        <x:v>Needs review</x:v>
      </x:c>
      <x:c r="AI22" s="2" t="n">
        <x:v>1</x:v>
      </x:c>
      <x:c r="AJ22" s="2" t="n">
        <x:v>0</x:v>
      </x:c>
      <x:c r="AK22" s="2" t="n">
        <x:v>4</x:v>
      </x:c>
      <x:c r="AL22" s="2" t="n">
        <x:v>4</x:v>
      </x:c>
      <x:c r="AM22" s="2" t="n">
        <x:v>1</x:v>
      </x:c>
      <x:c r="AN22" s="2" t="n">
        <x:v>0</x:v>
      </x:c>
      <x:c r="AO22" s="17" t="n">
        <x:v>30</x:v>
      </x:c>
      <x:c r="AP22" s="17" t="n">
        <x:v>28</x:v>
      </x:c>
      <x:c r="AQ22" s="2" t="str">
        <x:v>Nirmal Tom</x:v>
      </x:c>
      <x:c r="AR22" s="12" t="str">
        <x:v>Name + Linked device code</x:v>
      </x:c>
      <x:c r="AS22" s="12" t="str">
        <x:v>Salary missing; Inputs missing</x:v>
      </x:c>
    </x:row>
    <x:row r="23" ht="32" customHeight="1">
      <x:c r="A23" s="2" t="n">
        <x:v>20</x:v>
      </x:c>
      <x:c r="B23" s="2" t="str">
        <x:v>NISHA JOSE</x:v>
      </x:c>
      <x:c r="C23" s="2" t="str">
        <x:v>HO90-0014</x:v>
      </x:c>
      <x:c r="D23" s="2" t="str">
        <x:v>Matched</x:v>
      </x:c>
      <x:c r="E23" s="11" t="n">
        <x:v>18000</x:v>
      </x:c>
      <x:c r="F23" s="11"/>
      <x:c r="G23" s="11" t="str">
        <x:f>IF(ISNUMBER(F23),F23-E23,"")</x:f>
      </x:c>
      <x:c r="H23" s="17" t="n">
        <x:v>191</x:v>
      </x:c>
      <x:c r="I23" s="2" t="n">
        <x:v>11839</x:v>
      </x:c>
      <x:c r="J23" s="17" t="n">
        <x:f>IF(ISNUMBER(I23),ROUND(I23/60,2),"")</x:f>
        <x:v>197.32</x:v>
      </x:c>
      <x:c r="K23" s="17" t="n">
        <x:f>IF(ISNUMBER(J23),ROUND(J23-H23,2),"")</x:f>
        <x:v>6.32</x:v>
      </x:c>
      <x:c r="L23" s="11" t="n">
        <x:v>0</x:v>
      </x:c>
      <x:c r="M23" s="11"/>
      <x:c r="N23" s="11" t="str">
        <x:f>IF(ISNUMBER(M23),M23-L23,"")</x:f>
      </x:c>
      <x:c r="O23" s="11"/>
      <x:c r="P23" s="11"/>
      <x:c r="Q23" s="11" t="n">
        <x:v>131</x:v>
      </x:c>
      <x:c r="R23" s="11"/>
      <x:c r="S23" s="11"/>
      <x:c r="T23" s="11"/>
      <x:c r="U23" s="11" t="n">
        <x:v>50</x:v>
      </x:c>
      <x:c r="V23" s="11"/>
      <x:c r="W23" s="11"/>
      <x:c r="X23" s="11"/>
      <x:c r="Y23" s="11" t="n">
        <x:v>17410</x:v>
      </x:c>
      <x:c r="Z23" s="11" t="n">
        <x:v>181</x:v>
      </x:c>
      <x:c r="AA23" s="11" t="n">
        <x:v>17229</x:v>
      </x:c>
      <x:c r="AB23" s="11"/>
      <x:c r="AC23" s="2" t="n">
        <x:v>0</x:v>
      </x:c>
      <x:c r="AD23" s="2" t="n">
        <x:v>1</x:v>
      </x:c>
      <x:c r="AE23" s="2" t="n">
        <x:v>0</x:v>
      </x:c>
      <x:c r="AF23" s="2" t="str">
        <x:v>Missing</x:v>
      </x:c>
      <x:c r="AG23" s="2" t="str">
        <x:v>Not saved</x:v>
      </x:c>
      <x:c r="AH23" s="2" t="str">
        <x:v>Needs review</x:v>
      </x:c>
      <x:c r="AI23" s="2" t="n">
        <x:v>1</x:v>
      </x:c>
      <x:c r="AJ23" s="2" t="n">
        <x:v>0</x:v>
      </x:c>
      <x:c r="AK23" s="2" t="n">
        <x:v>4</x:v>
      </x:c>
      <x:c r="AL23" s="2" t="n">
        <x:v>4</x:v>
      </x:c>
      <x:c r="AM23" s="2" t="n">
        <x:v>1</x:v>
      </x:c>
      <x:c r="AN23" s="2" t="n">
        <x:v>0</x:v>
      </x:c>
      <x:c r="AO23" s="17" t="n">
        <x:v>29</x:v>
      </x:c>
      <x:c r="AP23" s="17" t="n">
        <x:v>27</x:v>
      </x:c>
      <x:c r="AQ23" s="2" t="str">
        <x:v>Nisha Jose</x:v>
      </x:c>
      <x:c r="AR23" s="12" t="str">
        <x:v>Name + Linked device code</x:v>
      </x:c>
      <x:c r="AS23" s="12" t="str">
        <x:v>Salary missing; Inputs missing</x:v>
      </x:c>
    </x:row>
    <x:row r="24" ht="32" customHeight="1">
      <x:c r="A24" s="2" t="n">
        <x:v>21</x:v>
      </x:c>
      <x:c r="B24" s="2" t="str">
        <x:v>RADHIKA</x:v>
      </x:c>
      <x:c r="C24" s="2" t="str">
        <x:v>HO90-0015</x:v>
      </x:c>
      <x:c r="D24" s="2" t="str">
        <x:v>Matched</x:v>
      </x:c>
      <x:c r="E24" s="11" t="n">
        <x:v>20000</x:v>
      </x:c>
      <x:c r="F24" s="11"/>
      <x:c r="G24" s="11" t="str">
        <x:f>IF(ISNUMBER(F24),F24-E24,"")</x:f>
      </x:c>
      <x:c r="H24" s="17" t="n">
        <x:v>190</x:v>
      </x:c>
      <x:c r="I24" s="2" t="n">
        <x:v>9524</x:v>
      </x:c>
      <x:c r="J24" s="17" t="n">
        <x:f>IF(ISNUMBER(I24),ROUND(I24/60,2),"")</x:f>
        <x:v>158.73</x:v>
      </x:c>
      <x:c r="K24" s="17" t="n">
        <x:f>IF(ISNUMBER(J24),ROUND(J24-H24,2),"")</x:f>
        <x:v>-31.27</x:v>
      </x:c>
      <x:c r="L24" s="11" t="n">
        <x:v>0</x:v>
      </x:c>
      <x:c r="M24" s="11"/>
      <x:c r="N24" s="11" t="str">
        <x:f>IF(ISNUMBER(M24),M24-L24,"")</x:f>
      </x:c>
      <x:c r="O24" s="11"/>
      <x:c r="P24" s="11"/>
      <x:c r="Q24" s="11"/>
      <x:c r="R24" s="11"/>
      <x:c r="S24" s="11"/>
      <x:c r="T24" s="11"/>
      <x:c r="U24" s="11" t="n">
        <x:v>50</x:v>
      </x:c>
      <x:c r="V24" s="11"/>
      <x:c r="W24" s="11"/>
      <x:c r="X24" s="11"/>
      <x:c r="Y24" s="11" t="n">
        <x:v>19280</x:v>
      </x:c>
      <x:c r="Z24" s="11" t="n">
        <x:v>50</x:v>
      </x:c>
      <x:c r="AA24" s="11" t="n">
        <x:v>19230</x:v>
      </x:c>
      <x:c r="AB24" s="11"/>
      <x:c r="AC24" s="2" t="n">
        <x:v>0</x:v>
      </x:c>
      <x:c r="AD24" s="2" t="n">
        <x:v>5</x:v>
      </x:c>
      <x:c r="AE24" s="2" t="n">
        <x:v>0</x:v>
      </x:c>
      <x:c r="AF24" s="2" t="str">
        <x:v>Missing</x:v>
      </x:c>
      <x:c r="AG24" s="2" t="str">
        <x:v>Not saved</x:v>
      </x:c>
      <x:c r="AH24" s="2" t="str">
        <x:v>Needs review</x:v>
      </x:c>
      <x:c r="AI24" s="2" t="n">
        <x:v>1</x:v>
      </x:c>
      <x:c r="AJ24" s="2" t="n">
        <x:v>0</x:v>
      </x:c>
      <x:c r="AK24" s="2" t="n">
        <x:v>4</x:v>
      </x:c>
      <x:c r="AL24" s="2" t="n">
        <x:v>4</x:v>
      </x:c>
      <x:c r="AM24" s="2" t="n">
        <x:v>1</x:v>
      </x:c>
      <x:c r="AN24" s="2" t="n">
        <x:v>0</x:v>
      </x:c>
      <x:c r="AO24" s="17" t="n">
        <x:v>29</x:v>
      </x:c>
      <x:c r="AP24" s="17" t="n">
        <x:v>27</x:v>
      </x:c>
      <x:c r="AQ24" s="2" t="str">
        <x:v>Radhika</x:v>
      </x:c>
      <x:c r="AR24" s="12" t="str">
        <x:v>Name + Linked device code</x:v>
      </x:c>
      <x:c r="AS24" s="12" t="str">
        <x:v>Salary missing; Inputs missing</x:v>
      </x:c>
    </x:row>
    <x:row r="25" ht="32" customHeight="1">
      <x:c r="A25" s="2" t="n">
        <x:v>22</x:v>
      </x:c>
      <x:c r="B25" s="2" t="str">
        <x:v>RENJITH MOHANAN</x:v>
      </x:c>
      <x:c r="C25" s="2" t="str">
        <x:v>HO90-0016</x:v>
      </x:c>
      <x:c r="D25" s="2" t="str">
        <x:v>Matched</x:v>
      </x:c>
      <x:c r="E25" s="11" t="n">
        <x:v>25000</x:v>
      </x:c>
      <x:c r="F25" s="11"/>
      <x:c r="G25" s="11" t="str">
        <x:f>IF(ISNUMBER(F25),F25-E25,"")</x:f>
      </x:c>
      <x:c r="H25" s="17" t="n">
        <x:v>180</x:v>
      </x:c>
      <x:c r="I25" s="2" t="n">
        <x:v>11023</x:v>
      </x:c>
      <x:c r="J25" s="17" t="n">
        <x:f>IF(ISNUMBER(I25),ROUND(I25/60,2),"")</x:f>
        <x:v>183.72</x:v>
      </x:c>
      <x:c r="K25" s="17" t="n">
        <x:f>IF(ISNUMBER(J25),ROUND(J25-H25,2),"")</x:f>
        <x:v>3.72</x:v>
      </x:c>
      <x:c r="L25" s="11" t="n">
        <x:v>0</x:v>
      </x:c>
      <x:c r="M25" s="11"/>
      <x:c r="N25" s="11" t="str">
        <x:f>IF(ISNUMBER(M25),M25-L25,"")</x:f>
      </x:c>
      <x:c r="O25" s="11"/>
      <x:c r="P25" s="11"/>
      <x:c r="Q25" s="11"/>
      <x:c r="R25" s="11"/>
      <x:c r="S25" s="11"/>
      <x:c r="T25" s="11"/>
      <x:c r="U25" s="11" t="n">
        <x:v>50</x:v>
      </x:c>
      <x:c r="V25" s="11"/>
      <x:c r="W25" s="11"/>
      <x:c r="X25" s="11"/>
      <x:c r="Y25" s="11" t="n">
        <x:v>22261</x:v>
      </x:c>
      <x:c r="Z25" s="11" t="n">
        <x:v>50</x:v>
      </x:c>
      <x:c r="AA25" s="11" t="n">
        <x:v>22211</x:v>
      </x:c>
      <x:c r="AB25" s="11"/>
      <x:c r="AC25" s="2" t="n">
        <x:v>0</x:v>
      </x:c>
      <x:c r="AD25" s="2" t="n">
        <x:v>2</x:v>
      </x:c>
      <x:c r="AE25" s="2" t="n">
        <x:v>0</x:v>
      </x:c>
      <x:c r="AF25" s="2" t="str">
        <x:v>Missing</x:v>
      </x:c>
      <x:c r="AG25" s="2" t="str">
        <x:v>Not saved</x:v>
      </x:c>
      <x:c r="AH25" s="2" t="str">
        <x:v>Needs review</x:v>
      </x:c>
      <x:c r="AI25" s="2" t="n">
        <x:v>1</x:v>
      </x:c>
      <x:c r="AJ25" s="2" t="n">
        <x:v>0</x:v>
      </x:c>
      <x:c r="AK25" s="2" t="n">
        <x:v>3</x:v>
      </x:c>
      <x:c r="AL25" s="2" t="n">
        <x:v>4</x:v>
      </x:c>
      <x:c r="AM25" s="2" t="n">
        <x:v>1</x:v>
      </x:c>
      <x:c r="AN25" s="2" t="n">
        <x:v>0</x:v>
      </x:c>
      <x:c r="AO25" s="17" t="n">
        <x:v>26.5</x:v>
      </x:c>
      <x:c r="AP25" s="17" t="n">
        <x:v>26</x:v>
      </x:c>
      <x:c r="AQ25" s="2" t="str">
        <x:v>Renjith Mohanan</x:v>
      </x:c>
      <x:c r="AR25" s="12" t="str">
        <x:v>Name + Linked device code</x:v>
      </x:c>
      <x:c r="AS25" s="12" t="str">
        <x:v>Salary missing; Inputs missing</x:v>
      </x:c>
    </x:row>
    <x:row r="26" ht="32" customHeight="1">
      <x:c r="A26" s="2" t="n">
        <x:v>23</x:v>
      </x:c>
      <x:c r="B26" s="2" t="str">
        <x:v>SABITHA V U</x:v>
      </x:c>
      <x:c r="C26" s="2" t="str">
        <x:v>HO90-0017</x:v>
      </x:c>
      <x:c r="D26" s="2" t="str">
        <x:v>Matched</x:v>
      </x:c>
      <x:c r="E26" s="11" t="n">
        <x:v>18000</x:v>
      </x:c>
      <x:c r="F26" s="11"/>
      <x:c r="G26" s="11" t="str">
        <x:f>IF(ISNUMBER(F26),F26-E26,"")</x:f>
      </x:c>
      <x:c r="H26" s="17" t="n">
        <x:v>211</x:v>
      </x:c>
      <x:c r="I26" s="2" t="n">
        <x:v>12002</x:v>
      </x:c>
      <x:c r="J26" s="17" t="n">
        <x:f>IF(ISNUMBER(I26),ROUND(I26/60,2),"")</x:f>
        <x:v>200.03</x:v>
      </x:c>
      <x:c r="K26" s="17" t="n">
        <x:f>IF(ISNUMBER(J26),ROUND(J26-H26,2),"")</x:f>
        <x:v>-10.97</x:v>
      </x:c>
      <x:c r="L26" s="11" t="n">
        <x:v>0</x:v>
      </x:c>
      <x:c r="M26" s="11"/>
      <x:c r="N26" s="11" t="str">
        <x:f>IF(ISNUMBER(M26),M26-L26,"")</x:f>
      </x:c>
      <x:c r="O26" s="11"/>
      <x:c r="P26" s="11"/>
      <x:c r="Q26" s="11"/>
      <x:c r="R26" s="11"/>
      <x:c r="S26" s="11" t="n">
        <x:v>5000</x:v>
      </x:c>
      <x:c r="T26" s="11"/>
      <x:c r="U26" s="11" t="n">
        <x:v>50</x:v>
      </x:c>
      <x:c r="V26" s="11"/>
      <x:c r="W26" s="11"/>
      <x:c r="X26" s="11"/>
      <x:c r="Y26" s="11" t="n">
        <x:v>18856</x:v>
      </x:c>
      <x:c r="Z26" s="11" t="n">
        <x:v>5050</x:v>
      </x:c>
      <x:c r="AA26" s="11" t="n">
        <x:v>13806</x:v>
      </x:c>
      <x:c r="AB26" s="11"/>
      <x:c r="AC26" s="2" t="n">
        <x:v>0</x:v>
      </x:c>
      <x:c r="AD26" s="2" t="n">
        <x:v>2</x:v>
      </x:c>
      <x:c r="AE26" s="2" t="n">
        <x:v>0</x:v>
      </x:c>
      <x:c r="AF26" s="2" t="str">
        <x:v>Missing</x:v>
      </x:c>
      <x:c r="AG26" s="2" t="str">
        <x:v>Not saved</x:v>
      </x:c>
      <x:c r="AH26" s="2" t="str">
        <x:v>Needs review</x:v>
      </x:c>
      <x:c r="AI26" s="2" t="n">
        <x:v>1</x:v>
      </x:c>
      <x:c r="AJ26" s="2" t="n">
        <x:v>0</x:v>
      </x:c>
      <x:c r="AK26" s="2" t="n">
        <x:v>4</x:v>
      </x:c>
      <x:c r="AL26" s="2" t="n">
        <x:v>4</x:v>
      </x:c>
      <x:c r="AM26" s="2" t="n">
        <x:v>1</x:v>
      </x:c>
      <x:c r="AN26" s="2" t="n">
        <x:v>0</x:v>
      </x:c>
      <x:c r="AO26" s="17" t="n">
        <x:v>31</x:v>
      </x:c>
      <x:c r="AP26" s="17" t="n">
        <x:v>28</x:v>
      </x:c>
      <x:c r="AQ26" s="2" t="str">
        <x:v>Sabitha V U</x:v>
      </x:c>
      <x:c r="AR26" s="12" t="str">
        <x:v>Name + Linked device code</x:v>
      </x:c>
      <x:c r="AS26" s="12" t="str">
        <x:v>Salary missing; Inputs missing</x:v>
      </x:c>
    </x:row>
    <x:row r="27" ht="32" customHeight="1">
      <x:c r="A27" s="2" t="n">
        <x:v>24</x:v>
      </x:c>
      <x:c r="B27" s="2" t="str">
        <x:v>SAJEEV I C</x:v>
      </x:c>
      <x:c r="C27" s="2" t="str"/>
      <x:c r="D27" s="2" t="str">
        <x:v>Not matched</x:v>
      </x:c>
      <x:c r="E27" s="11" t="n">
        <x:v>25000</x:v>
      </x:c>
      <x:c r="F27" s="11"/>
      <x:c r="G27" s="11" t="str">
        <x:f>IF(ISNUMBER(F27),F27-E27,"")</x:f>
      </x:c>
      <x:c r="H27" s="17" t="n">
        <x:v>116.55</x:v>
      </x:c>
      <x:c r="I27" s="2"/>
      <x:c r="J27" s="17" t="str">
        <x:f>IF(ISNUMBER(I27),ROUND(I27/60,2),"")</x:f>
      </x:c>
      <x:c r="K27" s="17" t="str">
        <x:f>IF(ISNUMBER(J27),ROUND(J27-H27,2),"")</x:f>
      </x:c>
      <x:c r="L27" s="11" t="n">
        <x:v>0</x:v>
      </x:c>
      <x:c r="M27" s="11"/>
      <x:c r="N27" s="11" t="str">
        <x:f>IF(ISNUMBER(M27),M27-L27,"")</x:f>
      </x:c>
      <x:c r="O27" s="11"/>
      <x:c r="P27" s="11"/>
      <x:c r="Q27" s="11"/>
      <x:c r="R27" s="11"/>
      <x:c r="S27" s="11"/>
      <x:c r="T27" s="11"/>
      <x:c r="U27" s="11" t="n">
        <x:v>50</x:v>
      </x:c>
      <x:c r="V27" s="11"/>
      <x:c r="W27" s="11"/>
      <x:c r="X27" s="11"/>
      <x:c r="Y27" s="11" t="n">
        <x:v>15050</x:v>
      </x:c>
      <x:c r="Z27" s="11" t="n">
        <x:v>50</x:v>
      </x:c>
      <x:c r="AA27" s="11" t="n">
        <x:v>15000</x:v>
      </x:c>
      <x:c r="AB27" s="11"/>
      <x:c r="AC27" s="2"/>
      <x:c r="AD27" s="2"/>
      <x:c r="AE27" s="2"/>
      <x:c r="AF27" s="2" t="str">
        <x:v>Unmatched</x:v>
      </x:c>
      <x:c r="AG27" s="2" t="str">
        <x:v>Unmatched</x:v>
      </x:c>
      <x:c r="AH27" s="2" t="str">
        <x:v>Not matched</x:v>
      </x:c>
      <x:c r="AI27" s="2" t="n">
        <x:v>0</x:v>
      </x:c>
      <x:c r="AJ27" s="2"/>
      <x:c r="AK27" s="2" t="n">
        <x:v>3</x:v>
      </x:c>
      <x:c r="AL27" s="2"/>
      <x:c r="AM27" s="2" t="n">
        <x:v>1</x:v>
      </x:c>
      <x:c r="AN27" s="2"/>
      <x:c r="AO27" s="17" t="n">
        <x:v>24</x:v>
      </x:c>
      <x:c r="AP27" s="17"/>
      <x:c r="AQ27" s="2" t="str"/>
      <x:c r="AR27" s="12" t="str"/>
      <x:c r="AS27" s="12" t="str">
        <x:v>Employee identity needs review</x:v>
      </x:c>
    </x:row>
    <x:row r="28" ht="32" customHeight="1">
      <x:c r="A28" s="2" t="n">
        <x:v>25</x:v>
      </x:c>
      <x:c r="B28" s="2" t="str">
        <x:v>SANAL THANKAPPAN</x:v>
      </x:c>
      <x:c r="C28" s="2" t="str">
        <x:v>7341</x:v>
      </x:c>
      <x:c r="D28" s="2" t="str">
        <x:v>Matched</x:v>
      </x:c>
      <x:c r="E28" s="11" t="n">
        <x:v>20000</x:v>
      </x:c>
      <x:c r="F28" s="11"/>
      <x:c r="G28" s="11" t="str">
        <x:f>IF(ISNUMBER(F28),F28-E28,"")</x:f>
      </x:c>
      <x:c r="H28" s="17" t="n">
        <x:v>222</x:v>
      </x:c>
      <x:c r="I28" s="2" t="n">
        <x:v>12110</x:v>
      </x:c>
      <x:c r="J28" s="17" t="n">
        <x:f>IF(ISNUMBER(I28),ROUND(I28/60,2),"")</x:f>
        <x:v>201.83</x:v>
      </x:c>
      <x:c r="K28" s="17" t="n">
        <x:f>IF(ISNUMBER(J28),ROUND(J28-H28,2),"")</x:f>
        <x:v>-20.17</x:v>
      </x:c>
      <x:c r="L28" s="11" t="n">
        <x:v>0</x:v>
      </x:c>
      <x:c r="M28" s="11"/>
      <x:c r="N28" s="11" t="str">
        <x:f>IF(ISNUMBER(M28),M28-L28,"")</x:f>
      </x:c>
      <x:c r="O28" s="11"/>
      <x:c r="P28" s="11"/>
      <x:c r="Q28" s="11"/>
      <x:c r="R28" s="11"/>
      <x:c r="S28" s="11"/>
      <x:c r="T28" s="11"/>
      <x:c r="U28" s="11" t="n">
        <x:v>50</x:v>
      </x:c>
      <x:c r="V28" s="11"/>
      <x:c r="W28" s="11"/>
      <x:c r="X28" s="11"/>
      <x:c r="Y28" s="11" t="n">
        <x:v>21853</x:v>
      </x:c>
      <x:c r="Z28" s="11" t="n">
        <x:v>50</x:v>
      </x:c>
      <x:c r="AA28" s="11" t="n">
        <x:v>21803</x:v>
      </x:c>
      <x:c r="AB28" s="11"/>
      <x:c r="AC28" s="2" t="n">
        <x:v>0</x:v>
      </x:c>
      <x:c r="AD28" s="2" t="n">
        <x:v>3</x:v>
      </x:c>
      <x:c r="AE28" s="2" t="n">
        <x:v>0</x:v>
      </x:c>
      <x:c r="AF28" s="2" t="str">
        <x:v>Missing</x:v>
      </x:c>
      <x:c r="AG28" s="2" t="str">
        <x:v>Not saved</x:v>
      </x:c>
      <x:c r="AH28" s="2" t="str">
        <x:v>Needs review</x:v>
      </x:c>
      <x:c r="AI28" s="2" t="n">
        <x:v>1</x:v>
      </x:c>
      <x:c r="AJ28" s="2" t="n">
        <x:v>0</x:v>
      </x:c>
      <x:c r="AK28" s="2" t="n">
        <x:v>4</x:v>
      </x:c>
      <x:c r="AL28" s="2" t="n">
        <x:v>4</x:v>
      </x:c>
      <x:c r="AM28" s="2" t="n">
        <x:v>1</x:v>
      </x:c>
      <x:c r="AN28" s="2" t="n">
        <x:v>0</x:v>
      </x:c>
      <x:c r="AO28" s="17" t="n">
        <x:v>31</x:v>
      </x:c>
      <x:c r="AP28" s="17" t="n">
        <x:v>28</x:v>
      </x:c>
      <x:c r="AQ28" s="2" t="str">
        <x:v>SANAL THANKAPPAN</x:v>
      </x:c>
      <x:c r="AR28" s="12" t="str">
        <x:v>Name + Employee code + Linked device code</x:v>
      </x:c>
      <x:c r="AS28" s="12" t="str">
        <x:v>Salary missing; Inputs missing</x:v>
      </x:c>
    </x:row>
    <x:row r="29" ht="32" customHeight="1">
      <x:c r="A29" s="2" t="n">
        <x:v>26</x:v>
      </x:c>
      <x:c r="B29" s="2" t="str">
        <x:v>SHEEBA V</x:v>
      </x:c>
      <x:c r="C29" s="2" t="str">
        <x:v>HO90-0019</x:v>
      </x:c>
      <x:c r="D29" s="2" t="str">
        <x:v>Matched</x:v>
      </x:c>
      <x:c r="E29" s="11" t="n">
        <x:v>12000</x:v>
      </x:c>
      <x:c r="F29" s="11"/>
      <x:c r="G29" s="11" t="str">
        <x:f>IF(ISNUMBER(F29),F29-E29,"")</x:f>
      </x:c>
      <x:c r="H29" s="17" t="n">
        <x:v>187</x:v>
      </x:c>
      <x:c r="I29" s="2" t="n">
        <x:v>11432</x:v>
      </x:c>
      <x:c r="J29" s="17" t="n">
        <x:f>IF(ISNUMBER(I29),ROUND(I29/60,2),"")</x:f>
        <x:v>190.53</x:v>
      </x:c>
      <x:c r="K29" s="17" t="n">
        <x:f>IF(ISNUMBER(J29),ROUND(J29-H29,2),"")</x:f>
        <x:v>3.53</x:v>
      </x:c>
      <x:c r="L29" s="11" t="n">
        <x:v>0</x:v>
      </x:c>
      <x:c r="M29" s="11"/>
      <x:c r="N29" s="11" t="str">
        <x:f>IF(ISNUMBER(M29),M29-L29,"")</x:f>
      </x:c>
      <x:c r="O29" s="11" t="n">
        <x:v>1370</x:v>
      </x:c>
      <x:c r="P29" s="11"/>
      <x:c r="Q29" s="11" t="n">
        <x:v>86</x:v>
      </x:c>
      <x:c r="R29" s="11"/>
      <x:c r="S29" s="11"/>
      <x:c r="T29" s="11"/>
      <x:c r="U29" s="11" t="n">
        <x:v>50</x:v>
      </x:c>
      <x:c r="V29" s="11"/>
      <x:c r="W29" s="11"/>
      <x:c r="X29" s="11"/>
      <x:c r="Y29" s="11" t="n">
        <x:v>11414</x:v>
      </x:c>
      <x:c r="Z29" s="11" t="n">
        <x:v>1506</x:v>
      </x:c>
      <x:c r="AA29" s="11" t="n">
        <x:v>9908</x:v>
      </x:c>
      <x:c r="AB29" s="11"/>
      <x:c r="AC29" s="2" t="n">
        <x:v>0</x:v>
      </x:c>
      <x:c r="AD29" s="2" t="n">
        <x:v>1</x:v>
      </x:c>
      <x:c r="AE29" s="2" t="n">
        <x:v>0</x:v>
      </x:c>
      <x:c r="AF29" s="2" t="str">
        <x:v>Missing</x:v>
      </x:c>
      <x:c r="AG29" s="2" t="str">
        <x:v>Not saved</x:v>
      </x:c>
      <x:c r="AH29" s="2" t="str">
        <x:v>Needs review</x:v>
      </x:c>
      <x:c r="AI29" s="2" t="n">
        <x:v>1</x:v>
      </x:c>
      <x:c r="AJ29" s="2" t="n">
        <x:v>0</x:v>
      </x:c>
      <x:c r="AK29" s="2" t="n">
        <x:v>4</x:v>
      </x:c>
      <x:c r="AL29" s="2" t="n">
        <x:v>4</x:v>
      </x:c>
      <x:c r="AM29" s="2" t="n">
        <x:v>1</x:v>
      </x:c>
      <x:c r="AN29" s="2" t="n">
        <x:v>0</x:v>
      </x:c>
      <x:c r="AO29" s="17" t="n">
        <x:v>29.5</x:v>
      </x:c>
      <x:c r="AP29" s="17" t="n">
        <x:v>28</x:v>
      </x:c>
      <x:c r="AQ29" s="2" t="str">
        <x:v>Sheeba V</x:v>
      </x:c>
      <x:c r="AR29" s="12" t="str">
        <x:v>Name + Linked device code</x:v>
      </x:c>
      <x:c r="AS29" s="12" t="str">
        <x:v>Salary missing; Inputs missing</x:v>
      </x:c>
    </x:row>
    <x:row r="30" ht="32" customHeight="1">
      <x:c r="A30" s="2" t="n">
        <x:v>27</x:v>
      </x:c>
      <x:c r="B30" s="2" t="str">
        <x:v>SHEENA PAUL</x:v>
      </x:c>
      <x:c r="C30" s="2" t="str">
        <x:v>HO90-0020</x:v>
      </x:c>
      <x:c r="D30" s="2" t="str">
        <x:v>Matched</x:v>
      </x:c>
      <x:c r="E30" s="11" t="n">
        <x:v>11500</x:v>
      </x:c>
      <x:c r="F30" s="11"/>
      <x:c r="G30" s="11" t="str">
        <x:f>IF(ISNUMBER(F30),F30-E30,"")</x:f>
      </x:c>
      <x:c r="H30" s="17" t="n">
        <x:v>218</x:v>
      </x:c>
      <x:c r="I30" s="2" t="n">
        <x:v>12911</x:v>
      </x:c>
      <x:c r="J30" s="17" t="n">
        <x:f>IF(ISNUMBER(I30),ROUND(I30/60,2),"")</x:f>
        <x:v>215.18</x:v>
      </x:c>
      <x:c r="K30" s="17" t="n">
        <x:f>IF(ISNUMBER(J30),ROUND(J30-H30,2),"")</x:f>
        <x:v>-2.82</x:v>
      </x:c>
      <x:c r="L30" s="11" t="n">
        <x:v>0</x:v>
      </x:c>
      <x:c r="M30" s="11"/>
      <x:c r="N30" s="11" t="str">
        <x:f>IF(ISNUMBER(M30),M30-L30,"")</x:f>
      </x:c>
      <x:c r="O30" s="11" t="n">
        <x:v>1488</x:v>
      </x:c>
      <x:c r="P30" s="11"/>
      <x:c r="Q30" s="11" t="n">
        <x:v>93</x:v>
      </x:c>
      <x:c r="R30" s="11"/>
      <x:c r="S30" s="11"/>
      <x:c r="T30" s="11"/>
      <x:c r="U30" s="11" t="n">
        <x:v>50</x:v>
      </x:c>
      <x:c r="V30" s="11"/>
      <x:c r="W30" s="11"/>
      <x:c r="X30" s="11"/>
      <x:c r="Y30" s="11" t="n">
        <x:v>12400</x:v>
      </x:c>
      <x:c r="Z30" s="11" t="n">
        <x:v>1631</x:v>
      </x:c>
      <x:c r="AA30" s="11" t="n">
        <x:v>10769</x:v>
      </x:c>
      <x:c r="AB30" s="11"/>
      <x:c r="AC30" s="2" t="n">
        <x:v>0</x:v>
      </x:c>
      <x:c r="AD30" s="2" t="n">
        <x:v>2</x:v>
      </x:c>
      <x:c r="AE30" s="2" t="n">
        <x:v>0</x:v>
      </x:c>
      <x:c r="AF30" s="2" t="str">
        <x:v>Missing</x:v>
      </x:c>
      <x:c r="AG30" s="2" t="str">
        <x:v>Not saved</x:v>
      </x:c>
      <x:c r="AH30" s="2" t="str">
        <x:v>Needs review</x:v>
      </x:c>
      <x:c r="AI30" s="2" t="n">
        <x:v>1</x:v>
      </x:c>
      <x:c r="AJ30" s="2" t="n">
        <x:v>0</x:v>
      </x:c>
      <x:c r="AK30" s="2" t="n">
        <x:v>4</x:v>
      </x:c>
      <x:c r="AL30" s="2" t="n">
        <x:v>4</x:v>
      </x:c>
      <x:c r="AM30" s="2" t="n">
        <x:v>1</x:v>
      </x:c>
      <x:c r="AN30" s="2" t="n">
        <x:v>0</x:v>
      </x:c>
      <x:c r="AO30" s="17" t="n">
        <x:v>31</x:v>
      </x:c>
      <x:c r="AP30" s="17" t="n">
        <x:v>30</x:v>
      </x:c>
      <x:c r="AQ30" s="2" t="str">
        <x:v>Sheena Paul</x:v>
      </x:c>
      <x:c r="AR30" s="12" t="str">
        <x:v>Name + Linked device code</x:v>
      </x:c>
      <x:c r="AS30" s="12" t="str">
        <x:v>Salary missing; Inputs missing</x:v>
      </x:c>
    </x:row>
    <x:row r="31" ht="32" customHeight="1">
      <x:c r="A31" s="2" t="n">
        <x:v>28</x:v>
      </x:c>
      <x:c r="B31" s="2" t="str">
        <x:v>SHIJI K R</x:v>
      </x:c>
      <x:c r="C31" s="2" t="str">
        <x:v>HO90-0021</x:v>
      </x:c>
      <x:c r="D31" s="2" t="str">
        <x:v>Matched</x:v>
      </x:c>
      <x:c r="E31" s="11" t="n">
        <x:v>28000</x:v>
      </x:c>
      <x:c r="F31" s="11"/>
      <x:c r="G31" s="11" t="str">
        <x:f>IF(ISNUMBER(F31),F31-E31,"")</x:f>
      </x:c>
      <x:c r="H31" s="17" t="n">
        <x:v>232</x:v>
      </x:c>
      <x:c r="I31" s="2" t="n">
        <x:v>13612</x:v>
      </x:c>
      <x:c r="J31" s="17" t="n">
        <x:f>IF(ISNUMBER(I31),ROUND(I31/60,2),"")</x:f>
        <x:v>226.87</x:v>
      </x:c>
      <x:c r="K31" s="17" t="n">
        <x:f>IF(ISNUMBER(J31),ROUND(J31-H31,2),"")</x:f>
        <x:v>-5.13</x:v>
      </x:c>
      <x:c r="L31" s="11" t="n">
        <x:v>12000</x:v>
      </x:c>
      <x:c r="M31" s="11"/>
      <x:c r="N31" s="11" t="str">
        <x:f>IF(ISNUMBER(M31),M31-L31,"")</x:f>
      </x:c>
      <x:c r="O31" s="11" t="n">
        <x:v>3000</x:v>
      </x:c>
      <x:c r="P31" s="11"/>
      <x:c r="Q31" s="11"/>
      <x:c r="R31" s="11"/>
      <x:c r="S31" s="11"/>
      <x:c r="T31" s="11"/>
      <x:c r="U31" s="11" t="n">
        <x:v>50</x:v>
      </x:c>
      <x:c r="V31" s="11"/>
      <x:c r="W31" s="11"/>
      <x:c r="X31" s="11"/>
      <x:c r="Y31" s="11" t="n">
        <x:v>43703</x:v>
      </x:c>
      <x:c r="Z31" s="11" t="n">
        <x:v>3050</x:v>
      </x:c>
      <x:c r="AA31" s="11" t="n">
        <x:v>40653</x:v>
      </x:c>
      <x:c r="AB31" s="11"/>
      <x:c r="AC31" s="2" t="n">
        <x:v>0</x:v>
      </x:c>
      <x:c r="AD31" s="2" t="n">
        <x:v>3</x:v>
      </x:c>
      <x:c r="AE31" s="2" t="n">
        <x:v>0</x:v>
      </x:c>
      <x:c r="AF31" s="2" t="str">
        <x:v>Missing</x:v>
      </x:c>
      <x:c r="AG31" s="2" t="str">
        <x:v>Not saved</x:v>
      </x:c>
      <x:c r="AH31" s="2" t="str">
        <x:v>Needs review</x:v>
      </x:c>
      <x:c r="AI31" s="2" t="n">
        <x:v>1</x:v>
      </x:c>
      <x:c r="AJ31" s="2" t="n">
        <x:v>0</x:v>
      </x:c>
      <x:c r="AK31" s="2" t="n">
        <x:v>4</x:v>
      </x:c>
      <x:c r="AL31" s="2" t="n">
        <x:v>4</x:v>
      </x:c>
      <x:c r="AM31" s="2" t="n">
        <x:v>1</x:v>
      </x:c>
      <x:c r="AN31" s="2" t="n">
        <x:v>0</x:v>
      </x:c>
      <x:c r="AO31" s="17" t="n">
        <x:v>31</x:v>
      </x:c>
      <x:c r="AP31" s="17" t="n">
        <x:v>29</x:v>
      </x:c>
      <x:c r="AQ31" s="2" t="str">
        <x:v>Shiji K R</x:v>
      </x:c>
      <x:c r="AR31" s="12" t="str">
        <x:v>Name + Linked device code</x:v>
      </x:c>
      <x:c r="AS31" s="12" t="str">
        <x:v>Salary missing; Inputs missing</x:v>
      </x:c>
    </x:row>
    <x:row r="32" ht="32" customHeight="1">
      <x:c r="A32" s="2" t="n">
        <x:v>29</x:v>
      </x:c>
      <x:c r="B32" s="2" t="str">
        <x:v>SINDHUKUMARI LAKSHMANAN</x:v>
      </x:c>
      <x:c r="C32" s="2" t="str">
        <x:v>HO90-0023</x:v>
      </x:c>
      <x:c r="D32" s="2" t="str">
        <x:v>Matched</x:v>
      </x:c>
      <x:c r="E32" s="11" t="n">
        <x:v>15000</x:v>
      </x:c>
      <x:c r="F32" s="11"/>
      <x:c r="G32" s="11" t="str">
        <x:f>IF(ISNUMBER(F32),F32-E32,"")</x:f>
      </x:c>
      <x:c r="H32" s="17" t="n">
        <x:v>189</x:v>
      </x:c>
      <x:c r="I32" s="2" t="n">
        <x:v>11546</x:v>
      </x:c>
      <x:c r="J32" s="17" t="n">
        <x:f>IF(ISNUMBER(I32),ROUND(I32/60,2),"")</x:f>
        <x:v>192.43</x:v>
      </x:c>
      <x:c r="K32" s="17" t="n">
        <x:f>IF(ISNUMBER(J32),ROUND(J32-H32,2),"")</x:f>
        <x:v>3.43</x:v>
      </x:c>
      <x:c r="L32" s="11" t="n">
        <x:v>0</x:v>
      </x:c>
      <x:c r="M32" s="11"/>
      <x:c r="N32" s="11" t="str">
        <x:f>IF(ISNUMBER(M32),M32-L32,"")</x:f>
      </x:c>
      <x:c r="O32" s="11"/>
      <x:c r="P32" s="11"/>
      <x:c r="Q32" s="11" t="n">
        <x:v>105</x:v>
      </x:c>
      <x:c r="R32" s="11"/>
      <x:c r="S32" s="11"/>
      <x:c r="T32" s="11"/>
      <x:c r="U32" s="11" t="n">
        <x:v>50</x:v>
      </x:c>
      <x:c r="V32" s="11"/>
      <x:c r="W32" s="11"/>
      <x:c r="X32" s="11"/>
      <x:c r="Y32" s="11" t="n">
        <x:v>13877</x:v>
      </x:c>
      <x:c r="Z32" s="11" t="n">
        <x:v>155</x:v>
      </x:c>
      <x:c r="AA32" s="11" t="n">
        <x:v>13722</x:v>
      </x:c>
      <x:c r="AB32" s="11"/>
      <x:c r="AC32" s="2" t="n">
        <x:v>0</x:v>
      </x:c>
      <x:c r="AD32" s="2" t="n">
        <x:v>2</x:v>
      </x:c>
      <x:c r="AE32" s="2" t="n">
        <x:v>0</x:v>
      </x:c>
      <x:c r="AF32" s="2" t="str">
        <x:v>Missing</x:v>
      </x:c>
      <x:c r="AG32" s="2" t="str">
        <x:v>Not saved</x:v>
      </x:c>
      <x:c r="AH32" s="2" t="str">
        <x:v>Needs review</x:v>
      </x:c>
      <x:c r="AI32" s="2" t="n">
        <x:v>1</x:v>
      </x:c>
      <x:c r="AJ32" s="2" t="n">
        <x:v>0</x:v>
      </x:c>
      <x:c r="AK32" s="2" t="n">
        <x:v>3</x:v>
      </x:c>
      <x:c r="AL32" s="2" t="n">
        <x:v>4</x:v>
      </x:c>
      <x:c r="AM32" s="2" t="n">
        <x:v>1</x:v>
      </x:c>
      <x:c r="AN32" s="2" t="n">
        <x:v>0</x:v>
      </x:c>
      <x:c r="AO32" s="17" t="n">
        <x:v>27.5</x:v>
      </x:c>
      <x:c r="AP32" s="17" t="n">
        <x:v>27</x:v>
      </x:c>
      <x:c r="AQ32" s="2" t="str">
        <x:v>Sindhukumari Lakshmanan</x:v>
      </x:c>
      <x:c r="AR32" s="12" t="str">
        <x:v>Name + Linked device code</x:v>
      </x:c>
      <x:c r="AS32" s="12" t="str">
        <x:v>Salary missing; Inputs missing</x:v>
      </x:c>
    </x:row>
    <x:row r="33" ht="32" customHeight="1">
      <x:c r="A33" s="2" t="n">
        <x:v>30</x:v>
      </x:c>
      <x:c r="B33" s="2" t="str">
        <x:v>SINI K XAVIER</x:v>
      </x:c>
      <x:c r="C33" s="2" t="str">
        <x:v>HO90-0024</x:v>
      </x:c>
      <x:c r="D33" s="2" t="str">
        <x:v>Matched</x:v>
      </x:c>
      <x:c r="E33" s="11" t="n">
        <x:v>15000</x:v>
      </x:c>
      <x:c r="F33" s="11"/>
      <x:c r="G33" s="11" t="str">
        <x:f>IF(ISNUMBER(F33),F33-E33,"")</x:f>
      </x:c>
      <x:c r="H33" s="17" t="n">
        <x:v>208</x:v>
      </x:c>
      <x:c r="I33" s="2" t="n">
        <x:v>12898</x:v>
      </x:c>
      <x:c r="J33" s="17" t="n">
        <x:f>IF(ISNUMBER(I33),ROUND(I33/60,2),"")</x:f>
        <x:v>214.97</x:v>
      </x:c>
      <x:c r="K33" s="17" t="n">
        <x:f>IF(ISNUMBER(J33),ROUND(J33-H33,2),"")</x:f>
        <x:v>6.97</x:v>
      </x:c>
      <x:c r="L33" s="11" t="n">
        <x:v>0</x:v>
      </x:c>
      <x:c r="M33" s="11"/>
      <x:c r="N33" s="11" t="str">
        <x:f>IF(ISNUMBER(M33),M33-L33,"")</x:f>
      </x:c>
      <x:c r="O33" s="11"/>
      <x:c r="P33" s="11"/>
      <x:c r="Q33" s="11" t="n">
        <x:v>117</x:v>
      </x:c>
      <x:c r="R33" s="11"/>
      <x:c r="S33" s="11"/>
      <x:c r="T33" s="11"/>
      <x:c r="U33" s="11" t="n">
        <x:v>50</x:v>
      </x:c>
      <x:c r="V33" s="11"/>
      <x:c r="W33" s="11"/>
      <x:c r="X33" s="11"/>
      <x:c r="Y33" s="11" t="n">
        <x:v>15520</x:v>
      </x:c>
      <x:c r="Z33" s="11" t="n">
        <x:v>167</x:v>
      </x:c>
      <x:c r="AA33" s="11" t="n">
        <x:v>15353</x:v>
      </x:c>
      <x:c r="AB33" s="11"/>
      <x:c r="AC33" s="2" t="n">
        <x:v>0</x:v>
      </x:c>
      <x:c r="AD33" s="2" t="n">
        <x:v>3</x:v>
      </x:c>
      <x:c r="AE33" s="2" t="n">
        <x:v>0</x:v>
      </x:c>
      <x:c r="AF33" s="2" t="str">
        <x:v>Missing</x:v>
      </x:c>
      <x:c r="AG33" s="2" t="str">
        <x:v>Not saved</x:v>
      </x:c>
      <x:c r="AH33" s="2" t="str">
        <x:v>Needs review</x:v>
      </x:c>
      <x:c r="AI33" s="2" t="n">
        <x:v>1</x:v>
      </x:c>
      <x:c r="AJ33" s="2" t="n">
        <x:v>0</x:v>
      </x:c>
      <x:c r="AK33" s="2" t="n">
        <x:v>4</x:v>
      </x:c>
      <x:c r="AL33" s="2" t="n">
        <x:v>4</x:v>
      </x:c>
      <x:c r="AM33" s="2" t="n">
        <x:v>1</x:v>
      </x:c>
      <x:c r="AN33" s="2" t="n">
        <x:v>0</x:v>
      </x:c>
      <x:c r="AO33" s="17" t="n">
        <x:v>30</x:v>
      </x:c>
      <x:c r="AP33" s="17" t="n">
        <x:v>28</x:v>
      </x:c>
      <x:c r="AQ33" s="2" t="str">
        <x:v>Sini K Xavier</x:v>
      </x:c>
      <x:c r="AR33" s="12" t="str">
        <x:v>Name + Linked device code</x:v>
      </x:c>
      <x:c r="AS33" s="12" t="str">
        <x:v>Salary missing; Inputs missing</x:v>
      </x:c>
    </x:row>
    <x:row r="34" ht="32" customHeight="1">
      <x:c r="A34" s="2" t="n">
        <x:v>31</x:v>
      </x:c>
      <x:c r="B34" s="2" t="str">
        <x:v>SUJITH S NAIR</x:v>
      </x:c>
      <x:c r="C34" s="2" t="str">
        <x:v>7340</x:v>
      </x:c>
      <x:c r="D34" s="2" t="str">
        <x:v>Matched</x:v>
      </x:c>
      <x:c r="E34" s="11" t="n">
        <x:v>35000</x:v>
      </x:c>
      <x:c r="F34" s="11"/>
      <x:c r="G34" s="11" t="str">
        <x:f>IF(ISNUMBER(F34),F34-E34,"")</x:f>
      </x:c>
      <x:c r="H34" s="17" t="n">
        <x:v>188</x:v>
      </x:c>
      <x:c r="I34" s="2" t="n">
        <x:v>8745</x:v>
      </x:c>
      <x:c r="J34" s="17" t="n">
        <x:f>IF(ISNUMBER(I34),ROUND(I34/60,2),"")</x:f>
        <x:v>145.75</x:v>
      </x:c>
      <x:c r="K34" s="17" t="n">
        <x:f>IF(ISNUMBER(J34),ROUND(J34-H34,2),"")</x:f>
        <x:v>-42.25</x:v>
      </x:c>
      <x:c r="L34" s="11" t="n">
        <x:v>0</x:v>
      </x:c>
      <x:c r="M34" s="11"/>
      <x:c r="N34" s="11" t="str">
        <x:f>IF(ISNUMBER(M34),M34-L34,"")</x:f>
      </x:c>
      <x:c r="O34" s="11"/>
      <x:c r="P34" s="11"/>
      <x:c r="Q34" s="11"/>
      <x:c r="R34" s="11"/>
      <x:c r="S34" s="11" t="n">
        <x:v>5000</x:v>
      </x:c>
      <x:c r="T34" s="11"/>
      <x:c r="U34" s="11" t="n">
        <x:v>50</x:v>
      </x:c>
      <x:c r="V34" s="11"/>
      <x:c r="W34" s="11"/>
      <x:c r="X34" s="11"/>
      <x:c r="Y34" s="11" t="n">
        <x:v>33435</x:v>
      </x:c>
      <x:c r="Z34" s="11" t="n">
        <x:v>5050</x:v>
      </x:c>
      <x:c r="AA34" s="11" t="n">
        <x:v>28385</x:v>
      </x:c>
      <x:c r="AB34" s="11"/>
      <x:c r="AC34" s="2" t="n">
        <x:v>0</x:v>
      </x:c>
      <x:c r="AD34" s="2" t="n">
        <x:v>8</x:v>
      </x:c>
      <x:c r="AE34" s="2" t="n">
        <x:v>0</x:v>
      </x:c>
      <x:c r="AF34" s="2" t="str">
        <x:v>Missing</x:v>
      </x:c>
      <x:c r="AG34" s="2" t="str">
        <x:v>Not saved</x:v>
      </x:c>
      <x:c r="AH34" s="2" t="str">
        <x:v>Needs review</x:v>
      </x:c>
      <x:c r="AI34" s="2" t="n">
        <x:v>1</x:v>
      </x:c>
      <x:c r="AJ34" s="2" t="n">
        <x:v>0</x:v>
      </x:c>
      <x:c r="AK34" s="2" t="n">
        <x:v>4</x:v>
      </x:c>
      <x:c r="AL34" s="2" t="n">
        <x:v>4</x:v>
      </x:c>
      <x:c r="AM34" s="2" t="n">
        <x:v>1</x:v>
      </x:c>
      <x:c r="AN34" s="2" t="n">
        <x:v>0</x:v>
      </x:c>
      <x:c r="AO34" s="17" t="n">
        <x:v>29.5</x:v>
      </x:c>
      <x:c r="AP34" s="17" t="n">
        <x:v>26</x:v>
      </x:c>
      <x:c r="AQ34" s="2" t="str">
        <x:v>SUJITH S NAIR</x:v>
      </x:c>
      <x:c r="AR34" s="12" t="str">
        <x:v>Name + Employee code + Linked device code</x:v>
      </x:c>
      <x:c r="AS34" s="12" t="str">
        <x:v>Salary missing; Inputs missing</x:v>
      </x:c>
    </x:row>
    <x:row r="35" ht="32" customHeight="1">
      <x:c r="A35" s="2" t="n">
        <x:v>32</x:v>
      </x:c>
      <x:c r="B35" s="2" t="str">
        <x:v>SYAMALA KUMARI O S</x:v>
      </x:c>
      <x:c r="C35" s="2" t="str">
        <x:v>HO90-0025</x:v>
      </x:c>
      <x:c r="D35" s="2" t="str">
        <x:v>Matched</x:v>
      </x:c>
      <x:c r="E35" s="11" t="n">
        <x:v>13000</x:v>
      </x:c>
      <x:c r="F35" s="11"/>
      <x:c r="G35" s="11" t="str">
        <x:f>IF(ISNUMBER(F35),F35-E35,"")</x:f>
      </x:c>
      <x:c r="H35" s="17" t="n">
        <x:v>193</x:v>
      </x:c>
      <x:c r="I35" s="2" t="n">
        <x:v>11680</x:v>
      </x:c>
      <x:c r="J35" s="17" t="n">
        <x:f>IF(ISNUMBER(I35),ROUND(I35/60,2),"")</x:f>
        <x:v>194.67</x:v>
      </x:c>
      <x:c r="K35" s="17" t="n">
        <x:f>IF(ISNUMBER(J35),ROUND(J35-H35,2),"")</x:f>
        <x:v>1.67</x:v>
      </x:c>
      <x:c r="L35" s="11" t="n">
        <x:v>0</x:v>
      </x:c>
      <x:c r="M35" s="11"/>
      <x:c r="N35" s="11" t="str">
        <x:f>IF(ISNUMBER(M35),M35-L35,"")</x:f>
      </x:c>
      <x:c r="O35" s="11"/>
      <x:c r="P35" s="11"/>
      <x:c r="Q35" s="11" t="n">
        <x:v>96</x:v>
      </x:c>
      <x:c r="R35" s="11"/>
      <x:c r="S35" s="11"/>
      <x:c r="T35" s="11"/>
      <x:c r="U35" s="11" t="n">
        <x:v>50</x:v>
      </x:c>
      <x:c r="V35" s="11"/>
      <x:c r="W35" s="11"/>
      <x:c r="X35" s="11"/>
      <x:c r="Y35" s="11" t="n">
        <x:v>12699</x:v>
      </x:c>
      <x:c r="Z35" s="11" t="n">
        <x:v>146</x:v>
      </x:c>
      <x:c r="AA35" s="11" t="n">
        <x:v>12553</x:v>
      </x:c>
      <x:c r="AB35" s="11"/>
      <x:c r="AC35" s="2" t="n">
        <x:v>0</x:v>
      </x:c>
      <x:c r="AD35" s="2" t="n">
        <x:v>3</x:v>
      </x:c>
      <x:c r="AE35" s="2" t="n">
        <x:v>0</x:v>
      </x:c>
      <x:c r="AF35" s="2" t="str">
        <x:v>Missing</x:v>
      </x:c>
      <x:c r="AG35" s="2" t="str">
        <x:v>Not saved</x:v>
      </x:c>
      <x:c r="AH35" s="2" t="str">
        <x:v>Needs review</x:v>
      </x:c>
      <x:c r="AI35" s="2" t="n">
        <x:v>1</x:v>
      </x:c>
      <x:c r="AJ35" s="2" t="n">
        <x:v>0</x:v>
      </x:c>
      <x:c r="AK35" s="2" t="n">
        <x:v>4</x:v>
      </x:c>
      <x:c r="AL35" s="2" t="n">
        <x:v>4</x:v>
      </x:c>
      <x:c r="AM35" s="2" t="n">
        <x:v>1</x:v>
      </x:c>
      <x:c r="AN35" s="2" t="n">
        <x:v>0</x:v>
      </x:c>
      <x:c r="AO35" s="17" t="n">
        <x:v>30.5</x:v>
      </x:c>
      <x:c r="AP35" s="17" t="n">
        <x:v>29</x:v>
      </x:c>
      <x:c r="AQ35" s="2" t="str">
        <x:v>Syamala Kumari O S</x:v>
      </x:c>
      <x:c r="AR35" s="12" t="str">
        <x:v>Name + Linked device code</x:v>
      </x:c>
      <x:c r="AS35" s="12" t="str">
        <x:v>Salary missing; Inputs missing</x:v>
      </x:c>
    </x:row>
    <x:row r="36" ht="32" customHeight="1">
      <x:c r="A36" s="2" t="n">
        <x:v>33</x:v>
      </x:c>
      <x:c r="B36" s="2" t="str">
        <x:v>VISHNU UNNIKRISHNAN</x:v>
      </x:c>
      <x:c r="C36" s="2" t="str">
        <x:v>HO90-D7327</x:v>
      </x:c>
      <x:c r="D36" s="2" t="str">
        <x:v>Matched</x:v>
      </x:c>
      <x:c r="E36" s="11" t="n">
        <x:v>30000</x:v>
      </x:c>
      <x:c r="F36" s="11"/>
      <x:c r="G36" s="11" t="str">
        <x:f>IF(ISNUMBER(F36),F36-E36,"")</x:f>
      </x:c>
      <x:c r="H36" s="17" t="n">
        <x:v>205</x:v>
      </x:c>
      <x:c r="I36" s="2" t="n">
        <x:v>12200</x:v>
      </x:c>
      <x:c r="J36" s="17" t="n">
        <x:f>IF(ISNUMBER(I36),ROUND(I36/60,2),"")</x:f>
        <x:v>203.33</x:v>
      </x:c>
      <x:c r="K36" s="17" t="n">
        <x:f>IF(ISNUMBER(J36),ROUND(J36-H36,2),"")</x:f>
        <x:v>-1.67</x:v>
      </x:c>
      <x:c r="L36" s="11" t="n">
        <x:v>0</x:v>
      </x:c>
      <x:c r="M36" s="11"/>
      <x:c r="N36" s="11" t="str">
        <x:f>IF(ISNUMBER(M36),M36-L36,"")</x:f>
      </x:c>
      <x:c r="O36" s="11"/>
      <x:c r="P36" s="11"/>
      <x:c r="Q36" s="11"/>
      <x:c r="R36" s="11"/>
      <x:c r="S36" s="11"/>
      <x:c r="T36" s="11"/>
      <x:c r="U36" s="11" t="n">
        <x:v>50</x:v>
      </x:c>
      <x:c r="V36" s="11"/>
      <x:c r="W36" s="11"/>
      <x:c r="X36" s="11"/>
      <x:c r="Y36" s="11" t="n">
        <x:v>30704</x:v>
      </x:c>
      <x:c r="Z36" s="11" t="n">
        <x:v>50</x:v>
      </x:c>
      <x:c r="AA36" s="11" t="n">
        <x:v>30654</x:v>
      </x:c>
      <x:c r="AB36" s="11"/>
      <x:c r="AC36" s="2" t="n">
        <x:v>0</x:v>
      </x:c>
      <x:c r="AD36" s="2" t="n">
        <x:v>4</x:v>
      </x:c>
      <x:c r="AE36" s="2" t="n">
        <x:v>0</x:v>
      </x:c>
      <x:c r="AF36" s="2" t="str">
        <x:v>Missing</x:v>
      </x:c>
      <x:c r="AG36" s="2" t="str">
        <x:v>Not saved</x:v>
      </x:c>
      <x:c r="AH36" s="2" t="str">
        <x:v>Needs review</x:v>
      </x:c>
      <x:c r="AI36" s="2" t="n">
        <x:v>1</x:v>
      </x:c>
      <x:c r="AJ36" s="2" t="n">
        <x:v>0</x:v>
      </x:c>
      <x:c r="AK36" s="2" t="n">
        <x:v>4</x:v>
      </x:c>
      <x:c r="AL36" s="2" t="n">
        <x:v>4</x:v>
      </x:c>
      <x:c r="AM36" s="2" t="n">
        <x:v>1</x:v>
      </x:c>
      <x:c r="AN36" s="2" t="n">
        <x:v>0</x:v>
      </x:c>
      <x:c r="AO36" s="17" t="n">
        <x:v>29.5</x:v>
      </x:c>
      <x:c r="AP36" s="17" t="n">
        <x:v>28</x:v>
      </x:c>
      <x:c r="AQ36" s="2" t="str">
        <x:v>Vishnu Unnikrishnan</x:v>
      </x:c>
      <x:c r="AR36" s="12" t="str">
        <x:v>Name + Linked device code</x:v>
      </x:c>
      <x:c r="AS36" s="12" t="str">
        <x:v>Salary missing; Inputs missing</x:v>
      </x:c>
    </x:row>
    <x:row r="37" ht="32" customHeight="1">
      <x:c r="A37" s="2" t="n">
        <x:v>34</x:v>
      </x:c>
      <x:c r="B37" s="2" t="str">
        <x:v>VIVEK VIMAL</x:v>
      </x:c>
      <x:c r="C37" s="2" t="str">
        <x:v>HO90-D7325</x:v>
      </x:c>
      <x:c r="D37" s="2" t="str">
        <x:v>Matched</x:v>
      </x:c>
      <x:c r="E37" s="11" t="n">
        <x:v>55000</x:v>
      </x:c>
      <x:c r="F37" s="11"/>
      <x:c r="G37" s="11" t="str">
        <x:f>IF(ISNUMBER(F37),F37-E37,"")</x:f>
      </x:c>
      <x:c r="H37" s="17" t="n">
        <x:v>205</x:v>
      </x:c>
      <x:c r="I37" s="2" t="n">
        <x:v>10110</x:v>
      </x:c>
      <x:c r="J37" s="17" t="n">
        <x:f>IF(ISNUMBER(I37),ROUND(I37/60,2),"")</x:f>
        <x:v>168.5</x:v>
      </x:c>
      <x:c r="K37" s="17" t="n">
        <x:f>IF(ISNUMBER(J37),ROUND(J37-H37,2),"")</x:f>
        <x:v>-36.5</x:v>
      </x:c>
      <x:c r="L37" s="11" t="n">
        <x:v>0</x:v>
      </x:c>
      <x:c r="M37" s="11"/>
      <x:c r="N37" s="11" t="str">
        <x:f>IF(ISNUMBER(M37),M37-L37,"")</x:f>
      </x:c>
      <x:c r="O37" s="11"/>
      <x:c r="P37" s="11"/>
      <x:c r="Q37" s="11"/>
      <x:c r="R37" s="11"/>
      <x:c r="S37" s="11"/>
      <x:c r="T37" s="11"/>
      <x:c r="U37" s="11" t="n">
        <x:v>50</x:v>
      </x:c>
      <x:c r="V37" s="11"/>
      <x:c r="W37" s="11"/>
      <x:c r="X37" s="11"/>
      <x:c r="Y37" s="11" t="n">
        <x:v>56311</x:v>
      </x:c>
      <x:c r="Z37" s="11" t="n">
        <x:v>50</x:v>
      </x:c>
      <x:c r="AA37" s="11" t="n">
        <x:v>56261</x:v>
      </x:c>
      <x:c r="AB37" s="11"/>
      <x:c r="AC37" s="2" t="n">
        <x:v>0</x:v>
      </x:c>
      <x:c r="AD37" s="2" t="n">
        <x:v>2</x:v>
      </x:c>
      <x:c r="AE37" s="2" t="n">
        <x:v>0</x:v>
      </x:c>
      <x:c r="AF37" s="2" t="str">
        <x:v>Missing</x:v>
      </x:c>
      <x:c r="AG37" s="2" t="str">
        <x:v>Not saved</x:v>
      </x:c>
      <x:c r="AH37" s="2" t="str">
        <x:v>Needs review</x:v>
      </x:c>
      <x:c r="AI37" s="2" t="n">
        <x:v>1</x:v>
      </x:c>
      <x:c r="AJ37" s="2" t="n">
        <x:v>0</x:v>
      </x:c>
      <x:c r="AK37" s="2" t="n">
        <x:v>4</x:v>
      </x:c>
      <x:c r="AL37" s="2" t="n">
        <x:v>4</x:v>
      </x:c>
      <x:c r="AM37" s="2" t="n">
        <x:v>1</x:v>
      </x:c>
      <x:c r="AN37" s="2" t="n">
        <x:v>0</x:v>
      </x:c>
      <x:c r="AO37" s="17" t="n">
        <x:v>29</x:v>
      </x:c>
      <x:c r="AP37" s="17" t="n">
        <x:v>24</x:v>
      </x:c>
      <x:c r="AQ37" s="2" t="str">
        <x:v>Vivek Vimal</x:v>
      </x:c>
      <x:c r="AR37" s="12" t="str">
        <x:v>Name + Linked device code</x:v>
      </x:c>
      <x:c r="AS37" s="12" t="str">
        <x:v>Salary missing; Inputs missing</x:v>
      </x:c>
    </x:row>
  </x:sheetData>
  <x:conditionalFormatting sqref="D6:D37">
    <x:cfRule type="containsText" dxfId="0" priority="1" operator="containsText" text="Not matched"/>
  </x:conditionalFormatting>
  <x:conditionalFormatting sqref="AC6:AC37">
    <x:cfRule type="cellIs" dxfId="1" priority="2" operator="greaterThan">
      <x:formula>0</x:formula>
    </x:cfRule>
  </x:conditionalFormatting>
  <x:conditionalFormatting sqref="AD6:AD37">
    <x:cfRule type="cellIs" dxfId="2" priority="3" operator="greaterThan">
      <x:formula>0</x:formula>
    </x:cfRule>
  </x:conditionalFormatting>
  <x:conditionalFormatting sqref="AE6:AE37">
    <x:cfRule type="cellIs" dxfId="3" priority="4" operator="greaterThan">
      <x:formula>0</x:formula>
    </x:cfRule>
  </x:conditionalFormatting>
  <x:conditionalFormatting sqref="AF6:AF37">
    <x:cfRule type="containsText" dxfId="4" priority="5" operator="containsText" text="Missing"/>
  </x:conditionalFormatting>
  <x:pageMargins left="0.7" right="0.7" top="0.75" bottom="0.75" header="0.3" footer="0.3"/>
  <x:tableParts count="1">
    <x:tablePart xmlns:r="http://schemas.openxmlformats.org/officeDocument/2006/relationships" r:id="R974af6edd93e402a"/>
  </x:tableParts>
</x:worksheet>
</file>

<file path=xl/worksheets/sheet3.xml><?xml version="1.0" encoding="utf-8"?>
<x:worksheet xmlns:x="http://schemas.openxmlformats.org/spreadsheetml/2006/main">
  <x:sheetPr>
    <x:tabColor rgb="FFA06A2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6" hidden="0" customWidth="1"/>
    <x:col min="4" max="4" width="18" hidden="0" customWidth="1"/>
    <x:col min="5" max="5" width="61" hidden="0" customWidth="1"/>
    <x:col min="6" max="6" width="16" hidden="0" customWidth="1"/>
    <x:col min="7" max="7" width="18" hidden="0" customWidth="1"/>
    <x:col min="8" max="8" width="14" hidden="0" customWidth="1"/>
    <x:col min="9" max="9" width="16" hidden="0" customWidth="1"/>
    <x:col min="10" max="10" width="1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4" t="str">
        <x:v>Attendance dates needing review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4" customHeight="1">
      <x:c r="A3" s="2" t="str">
        <x:v>September 2026. Matched employees only. A date can have more than one issue; pending dates can also have unresolved punches.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 t="str">
        <x:v>Source: saved attendance, recomputation queue and approved corrections in the same read-only Supabase snapshot.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48" customHeight="1">
      <x:c r="A5" s="10" t="str">
        <x:v>Employee</x:v>
      </x:c>
      <x:c r="B5" s="10" t="str">
        <x:v>System code</x:v>
      </x:c>
      <x:c r="C5" s="10" t="str">
        <x:v>Date</x:v>
      </x:c>
      <x:c r="D5" s="10" t="str">
        <x:v>Recorded status</x:v>
      </x:c>
      <x:c r="E5" s="10" t="str">
        <x:v>Issue</x:v>
      </x:c>
      <x:c r="F5" s="10" t="str">
        <x:v>Worked minutes</x:v>
      </x:c>
      <x:c r="G5" s="10" t="str">
        <x:v>Worked duration</x:v>
      </x:c>
      <x:c r="H5" s="10" t="str">
        <x:v>Punch count</x:v>
      </x:c>
      <x:c r="I5" s="10" t="str">
        <x:v>Paid day credit</x:v>
      </x:c>
      <x:c r="J5" s="10" t="str">
        <x:v>HR row</x:v>
      </x:c>
    </x:row>
    <x:row r="6" ht="34" customHeight="1">
      <x:c r="A6" s="2" t="str">
        <x:v>ABHILASH CHERIYAN</x:v>
      </x:c>
      <x:c r="B6" s="2" t="str">
        <x:v>HO90-0001</x:v>
      </x:c>
      <x:c r="C6" s="18" t="d">
        <x:v>2026-09-07T00:00:00.000Z</x:v>
      </x:c>
      <x:c r="D6" s="2" t="str">
        <x:v>Present</x:v>
      </x:c>
      <x:c r="E6" s="12" t="str">
        <x:v>Missing punch</x:v>
      </x:c>
      <x:c r="F6" s="2" t="n">
        <x:v>444</x:v>
      </x:c>
      <x:c r="G6" s="2" t="str">
        <x:v>7h 24m</x:v>
      </x:c>
      <x:c r="H6" s="2" t="n">
        <x:v>1</x:v>
      </x:c>
      <x:c r="I6" s="19" t="n">
        <x:v>1</x:v>
      </x:c>
      <x:c r="J6" s="2" t="n">
        <x:v>3</x:v>
      </x:c>
    </x:row>
    <x:row r="7" ht="34" customHeight="1">
      <x:c r="A7" s="2" t="str">
        <x:v>ABHILASH CHERIYAN</x:v>
      </x:c>
      <x:c r="B7" s="2" t="str">
        <x:v>HO90-0001</x:v>
      </x:c>
      <x:c r="C7" s="18" t="d">
        <x:v>2026-09-09T00:00:00.000Z</x:v>
      </x:c>
      <x:c r="D7" s="2" t="str">
        <x:v>Present</x:v>
      </x:c>
      <x:c r="E7" s="12" t="str">
        <x:v>Missing punch</x:v>
      </x:c>
      <x:c r="F7" s="2" t="n">
        <x:v>510</x:v>
      </x:c>
      <x:c r="G7" s="2" t="str">
        <x:v>8h 30m</x:v>
      </x:c>
      <x:c r="H7" s="2" t="n">
        <x:v>1</x:v>
      </x:c>
      <x:c r="I7" s="19" t="n">
        <x:v>1</x:v>
      </x:c>
      <x:c r="J7" s="2" t="n">
        <x:v>3</x:v>
      </x:c>
    </x:row>
    <x:row r="8" ht="34" customHeight="1">
      <x:c r="A8" s="2" t="str">
        <x:v>ABHILASH CHERIYAN</x:v>
      </x:c>
      <x:c r="B8" s="2" t="str">
        <x:v>HO90-0001</x:v>
      </x:c>
      <x:c r="C8" s="18" t="d">
        <x:v>2026-09-14T00:00:00.000Z</x:v>
      </x:c>
      <x:c r="D8" s="2" t="str">
        <x:v>Present</x:v>
      </x:c>
      <x:c r="E8" s="12" t="str">
        <x:v>Missing punch</x:v>
      </x:c>
      <x:c r="F8" s="2" t="n">
        <x:v>510</x:v>
      </x:c>
      <x:c r="G8" s="2" t="str">
        <x:v>8h 30m</x:v>
      </x:c>
      <x:c r="H8" s="2" t="n">
        <x:v>1</x:v>
      </x:c>
      <x:c r="I8" s="19" t="n">
        <x:v>1</x:v>
      </x:c>
      <x:c r="J8" s="2" t="n">
        <x:v>3</x:v>
      </x:c>
    </x:row>
    <x:row r="9" ht="34" customHeight="1">
      <x:c r="A9" s="2" t="str">
        <x:v>ABHILASH CHERIYAN</x:v>
      </x:c>
      <x:c r="B9" s="2" t="str">
        <x:v>HO90-0001</x:v>
      </x:c>
      <x:c r="C9" s="18" t="d">
        <x:v>2026-09-16T00:00:00.000Z</x:v>
      </x:c>
      <x:c r="D9" s="2" t="str">
        <x:v>Present</x:v>
      </x:c>
      <x:c r="E9" s="12" t="str">
        <x:v>Missing punch</x:v>
      </x:c>
      <x:c r="F9" s="2" t="n">
        <x:v>510</x:v>
      </x:c>
      <x:c r="G9" s="2" t="str">
        <x:v>8h 30m</x:v>
      </x:c>
      <x:c r="H9" s="2" t="n">
        <x:v>1</x:v>
      </x:c>
      <x:c r="I9" s="19" t="n">
        <x:v>1</x:v>
      </x:c>
      <x:c r="J9" s="2" t="n">
        <x:v>3</x:v>
      </x:c>
    </x:row>
    <x:row r="10" ht="34" customHeight="1">
      <x:c r="A10" s="2" t="str">
        <x:v>ABHILASH CHERIYAN</x:v>
      </x:c>
      <x:c r="B10" s="2" t="str">
        <x:v>HO90-0001</x:v>
      </x:c>
      <x:c r="C10" s="18" t="d">
        <x:v>2026-09-17T00:00:00.000Z</x:v>
      </x:c>
      <x:c r="D10" s="2" t="str">
        <x:v>Present</x:v>
      </x:c>
      <x:c r="E10" s="12" t="str">
        <x:v>Missing punch</x:v>
      </x:c>
      <x:c r="F10" s="2" t="n">
        <x:v>424</x:v>
      </x:c>
      <x:c r="G10" s="2" t="str">
        <x:v>7h 04m</x:v>
      </x:c>
      <x:c r="H10" s="2" t="n">
        <x:v>1</x:v>
      </x:c>
      <x:c r="I10" s="19" t="n">
        <x:v>1</x:v>
      </x:c>
      <x:c r="J10" s="2" t="n">
        <x:v>3</x:v>
      </x:c>
    </x:row>
    <x:row r="11" ht="34" customHeight="1">
      <x:c r="A11" s="2" t="str">
        <x:v>ABHILASH CHERIYAN</x:v>
      </x:c>
      <x:c r="B11" s="2" t="str">
        <x:v>HO90-0001</x:v>
      </x:c>
      <x:c r="C11" s="18" t="d">
        <x:v>2026-09-18T00:00:00.000Z</x:v>
      </x:c>
      <x:c r="D11" s="2" t="str">
        <x:v>Present</x:v>
      </x:c>
      <x:c r="E11" s="12" t="str">
        <x:v>Missing punch</x:v>
      </x:c>
      <x:c r="F11" s="2" t="n">
        <x:v>510</x:v>
      </x:c>
      <x:c r="G11" s="2" t="str">
        <x:v>8h 30m</x:v>
      </x:c>
      <x:c r="H11" s="2" t="n">
        <x:v>1</x:v>
      </x:c>
      <x:c r="I11" s="19" t="n">
        <x:v>1</x:v>
      </x:c>
      <x:c r="J11" s="2" t="n">
        <x:v>3</x:v>
      </x:c>
    </x:row>
    <x:row r="12" ht="34" customHeight="1">
      <x:c r="A12" s="2" t="str">
        <x:v>ABHILASH CHERIYAN</x:v>
      </x:c>
      <x:c r="B12" s="2" t="str">
        <x:v>HO90-0001</x:v>
      </x:c>
      <x:c r="C12" s="18" t="d">
        <x:v>2026-09-19T00:00:00.000Z</x:v>
      </x:c>
      <x:c r="D12" s="2" t="str">
        <x:v>Present</x:v>
      </x:c>
      <x:c r="E12" s="12" t="str">
        <x:v>Missing punch</x:v>
      </x:c>
      <x:c r="F12" s="2" t="n">
        <x:v>462</x:v>
      </x:c>
      <x:c r="G12" s="2" t="str">
        <x:v>7h 42m</x:v>
      </x:c>
      <x:c r="H12" s="2" t="n">
        <x:v>1</x:v>
      </x:c>
      <x:c r="I12" s="19" t="n">
        <x:v>1</x:v>
      </x:c>
      <x:c r="J12" s="2" t="n">
        <x:v>3</x:v>
      </x:c>
    </x:row>
    <x:row r="13" ht="34" customHeight="1">
      <x:c r="A13" s="2" t="str">
        <x:v>ABHILASH CHERIYAN</x:v>
      </x:c>
      <x:c r="B13" s="2" t="str">
        <x:v>HO90-0001</x:v>
      </x:c>
      <x:c r="C13" s="18" t="d">
        <x:v>2026-09-29T00:00:00.000Z</x:v>
      </x:c>
      <x:c r="D13" s="2" t="str">
        <x:v>Present</x:v>
      </x:c>
      <x:c r="E13" s="12" t="str">
        <x:v>Missing punch</x:v>
      </x:c>
      <x:c r="F13" s="2" t="n">
        <x:v>439</x:v>
      </x:c>
      <x:c r="G13" s="2" t="str">
        <x:v>7h 19m</x:v>
      </x:c>
      <x:c r="H13" s="2" t="n">
        <x:v>1</x:v>
      </x:c>
      <x:c r="I13" s="19" t="n">
        <x:v>1</x:v>
      </x:c>
      <x:c r="J13" s="2" t="n">
        <x:v>3</x:v>
      </x:c>
    </x:row>
    <x:row r="14" ht="34" customHeight="1">
      <x:c r="A14" s="2" t="str">
        <x:v>AKSHAY DAS</x:v>
      </x:c>
      <x:c r="B14" s="2" t="str">
        <x:v>HO90-0002</x:v>
      </x:c>
      <x:c r="C14" s="18" t="d">
        <x:v>2026-09-18T00:00:00.000Z</x:v>
      </x:c>
      <x:c r="D14" s="2" t="str">
        <x:v>Present</x:v>
      </x:c>
      <x:c r="E14" s="12" t="str">
        <x:v>Missing punch; Incomplete break punches</x:v>
      </x:c>
      <x:c r="F14" s="2" t="n">
        <x:v>300</x:v>
      </x:c>
      <x:c r="G14" s="2" t="str">
        <x:v>5h 00m</x:v>
      </x:c>
      <x:c r="H14" s="2" t="n">
        <x:v>3</x:v>
      </x:c>
      <x:c r="I14" s="19" t="n">
        <x:v>1</x:v>
      </x:c>
      <x:c r="J14" s="2" t="n">
        <x:v>4</x:v>
      </x:c>
    </x:row>
    <x:row r="15" ht="34" customHeight="1">
      <x:c r="A15" s="2" t="str">
        <x:v>ANNA JOSE</x:v>
      </x:c>
      <x:c r="B15" s="2" t="str">
        <x:v>HO90-0004</x:v>
      </x:c>
      <x:c r="C15" s="18" t="d">
        <x:v>2026-09-01T00:00:00.000Z</x:v>
      </x:c>
      <x:c r="D15" s="2" t="str">
        <x:v>Present</x:v>
      </x:c>
      <x:c r="E15" s="12" t="str">
        <x:v>Missing punch; Incomplete break punches</x:v>
      </x:c>
      <x:c r="F15" s="2" t="n">
        <x:v>500</x:v>
      </x:c>
      <x:c r="G15" s="2" t="str">
        <x:v>8h 20m</x:v>
      </x:c>
      <x:c r="H15" s="2" t="n">
        <x:v>3</x:v>
      </x:c>
      <x:c r="I15" s="19" t="n">
        <x:v>1</x:v>
      </x:c>
      <x:c r="J15" s="2" t="n">
        <x:v>5</x:v>
      </x:c>
    </x:row>
    <x:row r="16" ht="34" customHeight="1">
      <x:c r="A16" s="2" t="str">
        <x:v>ANNA JOSE</x:v>
      </x:c>
      <x:c r="B16" s="2" t="str">
        <x:v>HO90-0004</x:v>
      </x:c>
      <x:c r="C16" s="18" t="d">
        <x:v>2026-09-05T00:00:00.000Z</x:v>
      </x:c>
      <x:c r="D16" s="2" t="str">
        <x:v>Present</x:v>
      </x:c>
      <x:c r="E16" s="12" t="str">
        <x:v>Missing punch; Incomplete break punches</x:v>
      </x:c>
      <x:c r="F16" s="2" t="n">
        <x:v>368</x:v>
      </x:c>
      <x:c r="G16" s="2" t="str">
        <x:v>6h 08m</x:v>
      </x:c>
      <x:c r="H16" s="2" t="n">
        <x:v>3</x:v>
      </x:c>
      <x:c r="I16" s="19" t="n">
        <x:v>1</x:v>
      </x:c>
      <x:c r="J16" s="2" t="n">
        <x:v>5</x:v>
      </x:c>
    </x:row>
    <x:row r="17" ht="34" customHeight="1">
      <x:c r="A17" s="2" t="str">
        <x:v>ANNA JOSE</x:v>
      </x:c>
      <x:c r="B17" s="2" t="str">
        <x:v>HO90-0004</x:v>
      </x:c>
      <x:c r="C17" s="18" t="d">
        <x:v>2026-09-14T00:00:00.000Z</x:v>
      </x:c>
      <x:c r="D17" s="2" t="str">
        <x:v>Present</x:v>
      </x:c>
      <x:c r="E17" s="12" t="str">
        <x:v>Missing punch; Incomplete break punches</x:v>
      </x:c>
      <x:c r="F17" s="2" t="n">
        <x:v>444</x:v>
      </x:c>
      <x:c r="G17" s="2" t="str">
        <x:v>7h 24m</x:v>
      </x:c>
      <x:c r="H17" s="2" t="n">
        <x:v>5</x:v>
      </x:c>
      <x:c r="I17" s="19" t="n">
        <x:v>1</x:v>
      </x:c>
      <x:c r="J17" s="2" t="n">
        <x:v>5</x:v>
      </x:c>
    </x:row>
    <x:row r="18" ht="34" customHeight="1">
      <x:c r="A18" s="2" t="str">
        <x:v>ANNA JOSE</x:v>
      </x:c>
      <x:c r="B18" s="2" t="str">
        <x:v>HO90-0004</x:v>
      </x:c>
      <x:c r="C18" s="18" t="d">
        <x:v>2026-09-20T00:00:00.000Z</x:v>
      </x:c>
      <x:c r="D18" s="2" t="str">
        <x:v>No record</x:v>
      </x:c>
      <x:c r="E18" s="12" t="str">
        <x:v>Daily attendance record missing</x:v>
      </x:c>
      <x:c r="F18" s="2"/>
      <x:c r="G18" s="2" t="str"/>
      <x:c r="H18" s="2"/>
      <x:c r="I18" s="19"/>
      <x:c r="J18" s="2" t="n">
        <x:v>5</x:v>
      </x:c>
    </x:row>
    <x:row r="19" ht="34" customHeight="1">
      <x:c r="A19" s="2" t="str">
        <x:v>ANNA JOSE</x:v>
      </x:c>
      <x:c r="B19" s="2" t="str">
        <x:v>HO90-0004</x:v>
      </x:c>
      <x:c r="C19" s="18" t="d">
        <x:v>2026-09-21T00:00:00.000Z</x:v>
      </x:c>
      <x:c r="D19" s="2" t="str">
        <x:v>No record</x:v>
      </x:c>
      <x:c r="E19" s="12" t="str">
        <x:v>Daily attendance record missing</x:v>
      </x:c>
      <x:c r="F19" s="2"/>
      <x:c r="G19" s="2" t="str"/>
      <x:c r="H19" s="2"/>
      <x:c r="I19" s="19"/>
      <x:c r="J19" s="2" t="n">
        <x:v>5</x:v>
      </x:c>
    </x:row>
    <x:row r="20" ht="34" customHeight="1">
      <x:c r="A20" s="2" t="str">
        <x:v>ARYA K S</x:v>
      </x:c>
      <x:c r="B20" s="2" t="str">
        <x:v>HO90-0005</x:v>
      </x:c>
      <x:c r="C20" s="18" t="d">
        <x:v>2026-09-20T00:00:00.000Z</x:v>
      </x:c>
      <x:c r="D20" s="2" t="str">
        <x:v>No record</x:v>
      </x:c>
      <x:c r="E20" s="12" t="str">
        <x:v>Daily attendance record missing</x:v>
      </x:c>
      <x:c r="F20" s="2"/>
      <x:c r="G20" s="2" t="str"/>
      <x:c r="H20" s="2"/>
      <x:c r="I20" s="19"/>
      <x:c r="J20" s="2" t="n">
        <x:v>6</x:v>
      </x:c>
    </x:row>
    <x:row r="21" ht="34" customHeight="1">
      <x:c r="A21" s="2" t="str">
        <x:v>ARYA K S</x:v>
      </x:c>
      <x:c r="B21" s="2" t="str">
        <x:v>HO90-0005</x:v>
      </x:c>
      <x:c r="C21" s="18" t="d">
        <x:v>2026-09-21T00:00:00.000Z</x:v>
      </x:c>
      <x:c r="D21" s="2" t="str">
        <x:v>No record</x:v>
      </x:c>
      <x:c r="E21" s="12" t="str">
        <x:v>Daily attendance record missing</x:v>
      </x:c>
      <x:c r="F21" s="2"/>
      <x:c r="G21" s="2" t="str"/>
      <x:c r="H21" s="2"/>
      <x:c r="I21" s="19"/>
      <x:c r="J21" s="2" t="n">
        <x:v>6</x:v>
      </x:c>
    </x:row>
    <x:row r="22" ht="34" customHeight="1">
      <x:c r="A22" s="2" t="str">
        <x:v>BASIL C MATHEW</x:v>
      </x:c>
      <x:c r="B22" s="2" t="str">
        <x:v>HO90-0007</x:v>
      </x:c>
      <x:c r="C22" s="18" t="d">
        <x:v>2026-09-03T00:00:00.000Z</x:v>
      </x:c>
      <x:c r="D22" s="2" t="str">
        <x:v>Present</x:v>
      </x:c>
      <x:c r="E22" s="12" t="str">
        <x:v>Missing punch; Incomplete break punches</x:v>
      </x:c>
      <x:c r="F22" s="2" t="n">
        <x:v>159</x:v>
      </x:c>
      <x:c r="G22" s="2" t="str">
        <x:v>2h 39m</x:v>
      </x:c>
      <x:c r="H22" s="2" t="n">
        <x:v>5</x:v>
      </x:c>
      <x:c r="I22" s="19" t="n">
        <x:v>1</x:v>
      </x:c>
      <x:c r="J22" s="2" t="n">
        <x:v>8</x:v>
      </x:c>
    </x:row>
    <x:row r="23" ht="34" customHeight="1">
      <x:c r="A23" s="2" t="str">
        <x:v>BASIL C MATHEW</x:v>
      </x:c>
      <x:c r="B23" s="2" t="str">
        <x:v>HO90-0007</x:v>
      </x:c>
      <x:c r="C23" s="18" t="d">
        <x:v>2026-09-09T00:00:00.000Z</x:v>
      </x:c>
      <x:c r="D23" s="2" t="str">
        <x:v>Present</x:v>
      </x:c>
      <x:c r="E23" s="12" t="str">
        <x:v>Missing punch; Incomplete break punches</x:v>
      </x:c>
      <x:c r="F23" s="2" t="n">
        <x:v>205</x:v>
      </x:c>
      <x:c r="G23" s="2" t="str">
        <x:v>3h 25m</x:v>
      </x:c>
      <x:c r="H23" s="2" t="n">
        <x:v>5</x:v>
      </x:c>
      <x:c r="I23" s="19" t="n">
        <x:v>1</x:v>
      </x:c>
      <x:c r="J23" s="2" t="n">
        <x:v>8</x:v>
      </x:c>
    </x:row>
    <x:row r="24" ht="34" customHeight="1">
      <x:c r="A24" s="2" t="str">
        <x:v>BASIL C MATHEW</x:v>
      </x:c>
      <x:c r="B24" s="2" t="str">
        <x:v>HO90-0007</x:v>
      </x:c>
      <x:c r="C24" s="18" t="d">
        <x:v>2026-09-17T00:00:00.000Z</x:v>
      </x:c>
      <x:c r="D24" s="2" t="str">
        <x:v>Present</x:v>
      </x:c>
      <x:c r="E24" s="12" t="str">
        <x:v>Missing punch; Incomplete break punches</x:v>
      </x:c>
      <x:c r="F24" s="2" t="n">
        <x:v>269</x:v>
      </x:c>
      <x:c r="G24" s="2" t="str">
        <x:v>4h 29m</x:v>
      </x:c>
      <x:c r="H24" s="2" t="n">
        <x:v>5</x:v>
      </x:c>
      <x:c r="I24" s="19" t="n">
        <x:v>1</x:v>
      </x:c>
      <x:c r="J24" s="2" t="n">
        <x:v>8</x:v>
      </x:c>
    </x:row>
    <x:row r="25" ht="34" customHeight="1">
      <x:c r="A25" s="2" t="str">
        <x:v>BASIL C MATHEW</x:v>
      </x:c>
      <x:c r="B25" s="2" t="str">
        <x:v>HO90-0007</x:v>
      </x:c>
      <x:c r="C25" s="18" t="d">
        <x:v>2026-09-23T00:00:00.000Z</x:v>
      </x:c>
      <x:c r="D25" s="2" t="str">
        <x:v>Present</x:v>
      </x:c>
      <x:c r="E25" s="12" t="str">
        <x:v>Missing punch; Incomplete break punches</x:v>
      </x:c>
      <x:c r="F25" s="2" t="n">
        <x:v>209</x:v>
      </x:c>
      <x:c r="G25" s="2" t="str">
        <x:v>3h 29m</x:v>
      </x:c>
      <x:c r="H25" s="2" t="n">
        <x:v>5</x:v>
      </x:c>
      <x:c r="I25" s="19" t="n">
        <x:v>1</x:v>
      </x:c>
      <x:c r="J25" s="2" t="n">
        <x:v>8</x:v>
      </x:c>
    </x:row>
    <x:row r="26" ht="34" customHeight="1">
      <x:c r="A26" s="2" t="str">
        <x:v>BASIL C MATHEW</x:v>
      </x:c>
      <x:c r="B26" s="2" t="str">
        <x:v>HO90-0007</x:v>
      </x:c>
      <x:c r="C26" s="18" t="d">
        <x:v>2026-09-26T00:00:00.000Z</x:v>
      </x:c>
      <x:c r="D26" s="2" t="str">
        <x:v>Present</x:v>
      </x:c>
      <x:c r="E26" s="12" t="str">
        <x:v>Missing punch; Incomplete break punches</x:v>
      </x:c>
      <x:c r="F26" s="2" t="n">
        <x:v>196</x:v>
      </x:c>
      <x:c r="G26" s="2" t="str">
        <x:v>3h 16m</x:v>
      </x:c>
      <x:c r="H26" s="2" t="n">
        <x:v>3</x:v>
      </x:c>
      <x:c r="I26" s="19" t="n">
        <x:v>1</x:v>
      </x:c>
      <x:c r="J26" s="2" t="n">
        <x:v>8</x:v>
      </x:c>
    </x:row>
    <x:row r="27" ht="34" customHeight="1">
      <x:c r="A27" s="2" t="str">
        <x:v>BASIL C MATHEW</x:v>
      </x:c>
      <x:c r="B27" s="2" t="str">
        <x:v>HO90-0007</x:v>
      </x:c>
      <x:c r="C27" s="18" t="d">
        <x:v>2026-09-28T00:00:00.000Z</x:v>
      </x:c>
      <x:c r="D27" s="2" t="str">
        <x:v>Present</x:v>
      </x:c>
      <x:c r="E27" s="12" t="str">
        <x:v>Missing punch; Incomplete break punches</x:v>
      </x:c>
      <x:c r="F27" s="2" t="n">
        <x:v>262</x:v>
      </x:c>
      <x:c r="G27" s="2" t="str">
        <x:v>4h 22m</x:v>
      </x:c>
      <x:c r="H27" s="2" t="n">
        <x:v>5</x:v>
      </x:c>
      <x:c r="I27" s="19" t="n">
        <x:v>1</x:v>
      </x:c>
      <x:c r="J27" s="2" t="n">
        <x:v>8</x:v>
      </x:c>
    </x:row>
    <x:row r="28" ht="34" customHeight="1">
      <x:c r="A28" s="2" t="str">
        <x:v>CHIKKU SUBRAMANIAN</x:v>
      </x:c>
      <x:c r="B28" s="2" t="str">
        <x:v>HO90-0008</x:v>
      </x:c>
      <x:c r="C28" s="18" t="d">
        <x:v>2026-09-05T00:00:00.000Z</x:v>
      </x:c>
      <x:c r="D28" s="2" t="str">
        <x:v>Present</x:v>
      </x:c>
      <x:c r="E28" s="12" t="str">
        <x:v>Missing punch; Incomplete break punches</x:v>
      </x:c>
      <x:c r="F28" s="2" t="n">
        <x:v>309</x:v>
      </x:c>
      <x:c r="G28" s="2" t="str">
        <x:v>5h 09m</x:v>
      </x:c>
      <x:c r="H28" s="2" t="n">
        <x:v>7</x:v>
      </x:c>
      <x:c r="I28" s="19" t="n">
        <x:v>1</x:v>
      </x:c>
      <x:c r="J28" s="2" t="n">
        <x:v>9</x:v>
      </x:c>
    </x:row>
    <x:row r="29" ht="34" customHeight="1">
      <x:c r="A29" s="2" t="str">
        <x:v>CHIKKU SUBRAMANIAN</x:v>
      </x:c>
      <x:c r="B29" s="2" t="str">
        <x:v>HO90-0008</x:v>
      </x:c>
      <x:c r="C29" s="18" t="d">
        <x:v>2026-09-22T00:00:00.000Z</x:v>
      </x:c>
      <x:c r="D29" s="2" t="str">
        <x:v>Present</x:v>
      </x:c>
      <x:c r="E29" s="12" t="str">
        <x:v>Missing punch</x:v>
      </x:c>
      <x:c r="F29" s="2" t="n">
        <x:v>507</x:v>
      </x:c>
      <x:c r="G29" s="2" t="str">
        <x:v>8h 27m</x:v>
      </x:c>
      <x:c r="H29" s="2" t="n">
        <x:v>1</x:v>
      </x:c>
      <x:c r="I29" s="19" t="n">
        <x:v>1</x:v>
      </x:c>
      <x:c r="J29" s="2" t="n">
        <x:v>9</x:v>
      </x:c>
    </x:row>
    <x:row r="30" ht="34" customHeight="1">
      <x:c r="A30" s="2" t="str">
        <x:v>CHIKKU SUBRAMANIAN</x:v>
      </x:c>
      <x:c r="B30" s="2" t="str">
        <x:v>HO90-0008</x:v>
      </x:c>
      <x:c r="C30" s="18" t="d">
        <x:v>2026-09-30T00:00:00.000Z</x:v>
      </x:c>
      <x:c r="D30" s="2" t="str">
        <x:v>Present</x:v>
      </x:c>
      <x:c r="E30" s="12" t="str">
        <x:v>Missing punch; Incomplete break punches; Awaiting attendance recomputation</x:v>
      </x:c>
      <x:c r="F30" s="2" t="n">
        <x:v>109</x:v>
      </x:c>
      <x:c r="G30" s="2" t="str">
        <x:v>1h 49m</x:v>
      </x:c>
      <x:c r="H30" s="2" t="n">
        <x:v>3</x:v>
      </x:c>
      <x:c r="I30" s="19" t="n">
        <x:v>1</x:v>
      </x:c>
      <x:c r="J30" s="2" t="n">
        <x:v>9</x:v>
      </x:c>
    </x:row>
    <x:row r="31" ht="34" customHeight="1">
      <x:c r="A31" s="2" t="str">
        <x:v>GEORGE LAZZAR</x:v>
      </x:c>
      <x:c r="B31" s="2" t="str">
        <x:v>HO90-0009</x:v>
      </x:c>
      <x:c r="C31" s="18" t="d">
        <x:v>2026-09-01T00:00:00.000Z</x:v>
      </x:c>
      <x:c r="D31" s="2" t="str">
        <x:v>Present</x:v>
      </x:c>
      <x:c r="E31" s="12" t="str">
        <x:v>Missing punch; Incomplete break punches</x:v>
      </x:c>
      <x:c r="F31" s="2" t="n">
        <x:v>552</x:v>
      </x:c>
      <x:c r="G31" s="2" t="str">
        <x:v>9h 12m</x:v>
      </x:c>
      <x:c r="H31" s="2" t="n">
        <x:v>7</x:v>
      </x:c>
      <x:c r="I31" s="19" t="n">
        <x:v>1</x:v>
      </x:c>
      <x:c r="J31" s="2" t="n">
        <x:v>10</x:v>
      </x:c>
    </x:row>
    <x:row r="32" ht="34" customHeight="1">
      <x:c r="A32" s="2" t="str">
        <x:v>GEORGE LAZZAR</x:v>
      </x:c>
      <x:c r="B32" s="2" t="str">
        <x:v>HO90-0009</x:v>
      </x:c>
      <x:c r="C32" s="18" t="d">
        <x:v>2026-09-18T00:00:00.000Z</x:v>
      </x:c>
      <x:c r="D32" s="2" t="str">
        <x:v>Present</x:v>
      </x:c>
      <x:c r="E32" s="12" t="str">
        <x:v>Missing punch; Incomplete break punches</x:v>
      </x:c>
      <x:c r="F32" s="2" t="n">
        <x:v>304</x:v>
      </x:c>
      <x:c r="G32" s="2" t="str">
        <x:v>5h 04m</x:v>
      </x:c>
      <x:c r="H32" s="2" t="n">
        <x:v>5</x:v>
      </x:c>
      <x:c r="I32" s="19" t="n">
        <x:v>1</x:v>
      </x:c>
      <x:c r="J32" s="2" t="n">
        <x:v>10</x:v>
      </x:c>
    </x:row>
    <x:row r="33" ht="34" customHeight="1">
      <x:c r="A33" s="2" t="str">
        <x:v>GEORGE LAZZAR</x:v>
      </x:c>
      <x:c r="B33" s="2" t="str">
        <x:v>HO90-0009</x:v>
      </x:c>
      <x:c r="C33" s="18" t="d">
        <x:v>2026-09-30T00:00:00.000Z</x:v>
      </x:c>
      <x:c r="D33" s="2" t="str">
        <x:v>Present</x:v>
      </x:c>
      <x:c r="E33" s="12" t="str">
        <x:v>Missing punch; Incomplete break punches</x:v>
      </x:c>
      <x:c r="F33" s="2" t="n">
        <x:v>121</x:v>
      </x:c>
      <x:c r="G33" s="2" t="str">
        <x:v>2h 01m</x:v>
      </x:c>
      <x:c r="H33" s="2" t="n">
        <x:v>3</x:v>
      </x:c>
      <x:c r="I33" s="19" t="n">
        <x:v>1</x:v>
      </x:c>
      <x:c r="J33" s="2" t="n">
        <x:v>10</x:v>
      </x:c>
    </x:row>
    <x:row r="34" ht="34" customHeight="1">
      <x:c r="A34" s="2" t="str">
        <x:v>JISMI BIJU</x:v>
      </x:c>
      <x:c r="B34" s="2" t="str">
        <x:v>PKT-D7286</x:v>
      </x:c>
      <x:c r="C34" s="18" t="d">
        <x:v>2026-09-18T00:00:00.000Z</x:v>
      </x:c>
      <x:c r="D34" s="2" t="str">
        <x:v>Present</x:v>
      </x:c>
      <x:c r="E34" s="12" t="str">
        <x:v>Missing punch</x:v>
      </x:c>
      <x:c r="F34" s="2" t="n">
        <x:v>510</x:v>
      </x:c>
      <x:c r="G34" s="2" t="str">
        <x:v>8h 30m</x:v>
      </x:c>
      <x:c r="H34" s="2" t="n">
        <x:v>1</x:v>
      </x:c>
      <x:c r="I34" s="19" t="n">
        <x:v>1</x:v>
      </x:c>
      <x:c r="J34" s="2" t="n">
        <x:v>11</x:v>
      </x:c>
    </x:row>
    <x:row r="35" ht="34" customHeight="1">
      <x:c r="A35" s="2" t="str">
        <x:v>JISMI BIJU</x:v>
      </x:c>
      <x:c r="B35" s="2" t="str">
        <x:v>PKT-D7286</x:v>
      </x:c>
      <x:c r="C35" s="18" t="d">
        <x:v>2026-09-30T00:00:00.000Z</x:v>
      </x:c>
      <x:c r="D35" s="2" t="str">
        <x:v>Present</x:v>
      </x:c>
      <x:c r="E35" s="12" t="str">
        <x:v>Missing punch</x:v>
      </x:c>
      <x:c r="F35" s="2" t="n">
        <x:v>495</x:v>
      </x:c>
      <x:c r="G35" s="2" t="str">
        <x:v>8h 15m</x:v>
      </x:c>
      <x:c r="H35" s="2" t="n">
        <x:v>1</x:v>
      </x:c>
      <x:c r="I35" s="19" t="n">
        <x:v>1</x:v>
      </x:c>
      <x:c r="J35" s="2" t="n">
        <x:v>11</x:v>
      </x:c>
    </x:row>
    <x:row r="36" ht="34" customHeight="1">
      <x:c r="A36" s="2" t="str">
        <x:v>KASINATH</x:v>
      </x:c>
      <x:c r="B36" s="2" t="str">
        <x:v>HO90-D7324</x:v>
      </x:c>
      <x:c r="C36" s="18" t="d">
        <x:v>2026-09-02T00:00:00.000Z</x:v>
      </x:c>
      <x:c r="D36" s="2" t="str">
        <x:v>Present</x:v>
      </x:c>
      <x:c r="E36" s="12" t="str">
        <x:v>Missing punch; Incomplete break punches</x:v>
      </x:c>
      <x:c r="F36" s="2" t="n">
        <x:v>540</x:v>
      </x:c>
      <x:c r="G36" s="2" t="str">
        <x:v>9h 00m</x:v>
      </x:c>
      <x:c r="H36" s="2" t="n">
        <x:v>9</x:v>
      </x:c>
      <x:c r="I36" s="19" t="n">
        <x:v>1</x:v>
      </x:c>
      <x:c r="J36" s="2" t="n">
        <x:v>14</x:v>
      </x:c>
    </x:row>
    <x:row r="37" ht="34" customHeight="1">
      <x:c r="A37" s="2" t="str">
        <x:v>KASINATH</x:v>
      </x:c>
      <x:c r="B37" s="2" t="str">
        <x:v>HO90-D7324</x:v>
      </x:c>
      <x:c r="C37" s="18" t="d">
        <x:v>2026-09-17T00:00:00.000Z</x:v>
      </x:c>
      <x:c r="D37" s="2" t="str">
        <x:v>Present</x:v>
      </x:c>
      <x:c r="E37" s="12" t="str">
        <x:v>Missing punch; Incomplete break punches</x:v>
      </x:c>
      <x:c r="F37" s="2" t="n">
        <x:v>479</x:v>
      </x:c>
      <x:c r="G37" s="2" t="str">
        <x:v>7h 59m</x:v>
      </x:c>
      <x:c r="H37" s="2" t="n">
        <x:v>9</x:v>
      </x:c>
      <x:c r="I37" s="19" t="n">
        <x:v>1</x:v>
      </x:c>
      <x:c r="J37" s="2" t="n">
        <x:v>14</x:v>
      </x:c>
    </x:row>
    <x:row r="38" ht="34" customHeight="1">
      <x:c r="A38" s="2" t="str">
        <x:v>KASINATH</x:v>
      </x:c>
      <x:c r="B38" s="2" t="str">
        <x:v>HO90-D7324</x:v>
      </x:c>
      <x:c r="C38" s="18" t="d">
        <x:v>2026-09-18T00:00:00.000Z</x:v>
      </x:c>
      <x:c r="D38" s="2" t="str">
        <x:v>Present</x:v>
      </x:c>
      <x:c r="E38" s="12" t="str">
        <x:v>Missing punch; Incomplete break punches</x:v>
      </x:c>
      <x:c r="F38" s="2" t="n">
        <x:v>100</x:v>
      </x:c>
      <x:c r="G38" s="2" t="str">
        <x:v>1h 40m</x:v>
      </x:c>
      <x:c r="H38" s="2" t="n">
        <x:v>3</x:v>
      </x:c>
      <x:c r="I38" s="19" t="n">
        <x:v>1</x:v>
      </x:c>
      <x:c r="J38" s="2" t="n">
        <x:v>14</x:v>
      </x:c>
    </x:row>
    <x:row r="39" ht="34" customHeight="1">
      <x:c r="A39" s="2" t="str">
        <x:v>KASINATH</x:v>
      </x:c>
      <x:c r="B39" s="2" t="str">
        <x:v>HO90-D7324</x:v>
      </x:c>
      <x:c r="C39" s="18" t="d">
        <x:v>2026-09-25T00:00:00.000Z</x:v>
      </x:c>
      <x:c r="D39" s="2" t="str">
        <x:v>Present</x:v>
      </x:c>
      <x:c r="E39" s="12" t="str">
        <x:v>Missing punch; Incomplete break punches</x:v>
      </x:c>
      <x:c r="F39" s="2" t="n">
        <x:v>403</x:v>
      </x:c>
      <x:c r="G39" s="2" t="str">
        <x:v>6h 43m</x:v>
      </x:c>
      <x:c r="H39" s="2" t="n">
        <x:v>9</x:v>
      </x:c>
      <x:c r="I39" s="19" t="n">
        <x:v>1</x:v>
      </x:c>
      <x:c r="J39" s="2" t="n">
        <x:v>14</x:v>
      </x:c>
    </x:row>
    <x:row r="40" ht="34" customHeight="1">
      <x:c r="A40" s="2" t="str">
        <x:v>KASINATH</x:v>
      </x:c>
      <x:c r="B40" s="2" t="str">
        <x:v>HO90-D7324</x:v>
      </x:c>
      <x:c r="C40" s="18" t="d">
        <x:v>2026-09-30T00:00:00.000Z</x:v>
      </x:c>
      <x:c r="D40" s="2" t="str">
        <x:v>Present</x:v>
      </x:c>
      <x:c r="E40" s="12" t="str">
        <x:v>Missing punch; Incomplete break punches; Awaiting attendance recomputation</x:v>
      </x:c>
      <x:c r="F40" s="2" t="n">
        <x:v>175</x:v>
      </x:c>
      <x:c r="G40" s="2" t="str">
        <x:v>2h 55m</x:v>
      </x:c>
      <x:c r="H40" s="2" t="n">
        <x:v>5</x:v>
      </x:c>
      <x:c r="I40" s="19" t="n">
        <x:v>1</x:v>
      </x:c>
      <x:c r="J40" s="2" t="n">
        <x:v>14</x:v>
      </x:c>
    </x:row>
    <x:row r="41" ht="34" customHeight="1">
      <x:c r="A41" s="2" t="str">
        <x:v>KIRAN DEV</x:v>
      </x:c>
      <x:c r="B41" s="2" t="str">
        <x:v>7329</x:v>
      </x:c>
      <x:c r="C41" s="18" t="d">
        <x:v>2026-09-01T00:00:00.000Z</x:v>
      </x:c>
      <x:c r="D41" s="2" t="str">
        <x:v>Present</x:v>
      </x:c>
      <x:c r="E41" s="12" t="str">
        <x:v>Missing punch; Incomplete break punches</x:v>
      </x:c>
      <x:c r="F41" s="2" t="n">
        <x:v>151</x:v>
      </x:c>
      <x:c r="G41" s="2" t="str">
        <x:v>2h 31m</x:v>
      </x:c>
      <x:c r="H41" s="2" t="n">
        <x:v>7</x:v>
      </x:c>
      <x:c r="I41" s="19" t="n">
        <x:v>1</x:v>
      </x:c>
      <x:c r="J41" s="2" t="n">
        <x:v>15</x:v>
      </x:c>
    </x:row>
    <x:row r="42" ht="34" customHeight="1">
      <x:c r="A42" s="2" t="str">
        <x:v>KIRAN DEV</x:v>
      </x:c>
      <x:c r="B42" s="2" t="str">
        <x:v>7329</x:v>
      </x:c>
      <x:c r="C42" s="18" t="d">
        <x:v>2026-09-06T00:00:00.000Z</x:v>
      </x:c>
      <x:c r="D42" s="2" t="str">
        <x:v>Present</x:v>
      </x:c>
      <x:c r="E42" s="12" t="str">
        <x:v>Missing punch; Incomplete break punches</x:v>
      </x:c>
      <x:c r="F42" s="2" t="n">
        <x:v>314</x:v>
      </x:c>
      <x:c r="G42" s="2" t="str">
        <x:v>5h 14m</x:v>
      </x:c>
      <x:c r="H42" s="2" t="n">
        <x:v>5</x:v>
      </x:c>
      <x:c r="I42" s="19" t="n">
        <x:v>1</x:v>
      </x:c>
      <x:c r="J42" s="2" t="n">
        <x:v>15</x:v>
      </x:c>
    </x:row>
    <x:row r="43" ht="34" customHeight="1">
      <x:c r="A43" s="2" t="str">
        <x:v>KIRAN DEV</x:v>
      </x:c>
      <x:c r="B43" s="2" t="str">
        <x:v>7329</x:v>
      </x:c>
      <x:c r="C43" s="18" t="d">
        <x:v>2026-09-10T00:00:00.000Z</x:v>
      </x:c>
      <x:c r="D43" s="2" t="str">
        <x:v>Present</x:v>
      </x:c>
      <x:c r="E43" s="12" t="str">
        <x:v>Missing punch; Incomplete break punches</x:v>
      </x:c>
      <x:c r="F43" s="2" t="n">
        <x:v>317</x:v>
      </x:c>
      <x:c r="G43" s="2" t="str">
        <x:v>5h 17m</x:v>
      </x:c>
      <x:c r="H43" s="2" t="n">
        <x:v>7</x:v>
      </x:c>
      <x:c r="I43" s="19" t="n">
        <x:v>1</x:v>
      </x:c>
      <x:c r="J43" s="2" t="n">
        <x:v>15</x:v>
      </x:c>
    </x:row>
    <x:row r="44" ht="34" customHeight="1">
      <x:c r="A44" s="2" t="str">
        <x:v>KIRAN DEV</x:v>
      </x:c>
      <x:c r="B44" s="2" t="str">
        <x:v>7329</x:v>
      </x:c>
      <x:c r="C44" s="18" t="d">
        <x:v>2026-09-17T00:00:00.000Z</x:v>
      </x:c>
      <x:c r="D44" s="2" t="str">
        <x:v>Present</x:v>
      </x:c>
      <x:c r="E44" s="12" t="str">
        <x:v>Missing punch; Incomplete break punches</x:v>
      </x:c>
      <x:c r="F44" s="2" t="n">
        <x:v>467</x:v>
      </x:c>
      <x:c r="G44" s="2" t="str">
        <x:v>7h 47m</x:v>
      </x:c>
      <x:c r="H44" s="2" t="n">
        <x:v>7</x:v>
      </x:c>
      <x:c r="I44" s="19" t="n">
        <x:v>1</x:v>
      </x:c>
      <x:c r="J44" s="2" t="n">
        <x:v>15</x:v>
      </x:c>
    </x:row>
    <x:row r="45" ht="34" customHeight="1">
      <x:c r="A45" s="2" t="str">
        <x:v>KIRAN DEV</x:v>
      </x:c>
      <x:c r="B45" s="2" t="str">
        <x:v>7329</x:v>
      </x:c>
      <x:c r="C45" s="18" t="d">
        <x:v>2026-09-18T00:00:00.000Z</x:v>
      </x:c>
      <x:c r="D45" s="2" t="str">
        <x:v>Present</x:v>
      </x:c>
      <x:c r="E45" s="12" t="str">
        <x:v>Missing punch; Incomplete break punches</x:v>
      </x:c>
      <x:c r="F45" s="2" t="n">
        <x:v>282</x:v>
      </x:c>
      <x:c r="G45" s="2" t="str">
        <x:v>4h 42m</x:v>
      </x:c>
      <x:c r="H45" s="2" t="n">
        <x:v>7</x:v>
      </x:c>
      <x:c r="I45" s="19" t="n">
        <x:v>1</x:v>
      </x:c>
      <x:c r="J45" s="2" t="n">
        <x:v>15</x:v>
      </x:c>
    </x:row>
    <x:row r="46" ht="34" customHeight="1">
      <x:c r="A46" s="2" t="str">
        <x:v>KIRAN DEV</x:v>
      </x:c>
      <x:c r="B46" s="2" t="str">
        <x:v>7329</x:v>
      </x:c>
      <x:c r="C46" s="18" t="d">
        <x:v>2026-09-28T00:00:00.000Z</x:v>
      </x:c>
      <x:c r="D46" s="2" t="str">
        <x:v>Present</x:v>
      </x:c>
      <x:c r="E46" s="12" t="str">
        <x:v>Missing punch; Incomplete break punches</x:v>
      </x:c>
      <x:c r="F46" s="2" t="n">
        <x:v>230</x:v>
      </x:c>
      <x:c r="G46" s="2" t="str">
        <x:v>3h 50m</x:v>
      </x:c>
      <x:c r="H46" s="2" t="n">
        <x:v>3</x:v>
      </x:c>
      <x:c r="I46" s="19" t="n">
        <x:v>1</x:v>
      </x:c>
      <x:c r="J46" s="2" t="n">
        <x:v>15</x:v>
      </x:c>
    </x:row>
    <x:row r="47" ht="34" customHeight="1">
      <x:c r="A47" s="2" t="str">
        <x:v>KIRAN DEV</x:v>
      </x:c>
      <x:c r="B47" s="2" t="str">
        <x:v>7329</x:v>
      </x:c>
      <x:c r="C47" s="18" t="d">
        <x:v>2026-09-30T00:00:00.000Z</x:v>
      </x:c>
      <x:c r="D47" s="2" t="str">
        <x:v>Present</x:v>
      </x:c>
      <x:c r="E47" s="12" t="str">
        <x:v>Missing punch</x:v>
      </x:c>
      <x:c r="F47" s="2" t="n">
        <x:v>423</x:v>
      </x:c>
      <x:c r="G47" s="2" t="str">
        <x:v>7h 03m</x:v>
      </x:c>
      <x:c r="H47" s="2" t="n">
        <x:v>1</x:v>
      </x:c>
      <x:c r="I47" s="19" t="n">
        <x:v>1</x:v>
      </x:c>
      <x:c r="J47" s="2" t="n">
        <x:v>15</x:v>
      </x:c>
    </x:row>
    <x:row r="48" ht="34" customHeight="1">
      <x:c r="A48" s="2" t="str">
        <x:v>LATHIKA VELAYUDHAN</x:v>
      </x:c>
      <x:c r="B48" s="2" t="str">
        <x:v>HO90-0012</x:v>
      </x:c>
      <x:c r="C48" s="18" t="d">
        <x:v>2026-09-18T00:00:00.000Z</x:v>
      </x:c>
      <x:c r="D48" s="2" t="str">
        <x:v>Present</x:v>
      </x:c>
      <x:c r="E48" s="12" t="str">
        <x:v>Missing punch</x:v>
      </x:c>
      <x:c r="F48" s="2" t="n">
        <x:v>510</x:v>
      </x:c>
      <x:c r="G48" s="2" t="str">
        <x:v>8h 30m</x:v>
      </x:c>
      <x:c r="H48" s="2" t="n">
        <x:v>1</x:v>
      </x:c>
      <x:c r="I48" s="19" t="n">
        <x:v>1</x:v>
      </x:c>
      <x:c r="J48" s="2" t="n">
        <x:v>16</x:v>
      </x:c>
    </x:row>
    <x:row r="49" ht="34" customHeight="1">
      <x:c r="A49" s="2" t="str">
        <x:v>LATHIKA VELAYUDHAN</x:v>
      </x:c>
      <x:c r="B49" s="2" t="str">
        <x:v>HO90-0012</x:v>
      </x:c>
      <x:c r="C49" s="18" t="d">
        <x:v>2026-09-30T00:00:00.000Z</x:v>
      </x:c>
      <x:c r="D49" s="2" t="str">
        <x:v>Present</x:v>
      </x:c>
      <x:c r="E49" s="12" t="str">
        <x:v>Missing punch</x:v>
      </x:c>
      <x:c r="F49" s="2" t="n">
        <x:v>471</x:v>
      </x:c>
      <x:c r="G49" s="2" t="str">
        <x:v>7h 51m</x:v>
      </x:c>
      <x:c r="H49" s="2" t="n">
        <x:v>1</x:v>
      </x:c>
      <x:c r="I49" s="19" t="n">
        <x:v>1</x:v>
      </x:c>
      <x:c r="J49" s="2" t="n">
        <x:v>16</x:v>
      </x:c>
    </x:row>
    <x:row r="50" ht="34" customHeight="1">
      <x:c r="A50" s="2" t="str">
        <x:v>MALLIKA</x:v>
      </x:c>
      <x:c r="B50" s="2" t="str">
        <x:v>HO90-0013</x:v>
      </x:c>
      <x:c r="C50" s="18" t="d">
        <x:v>2026-09-20T00:00:00.000Z</x:v>
      </x:c>
      <x:c r="D50" s="2" t="str">
        <x:v>No record</x:v>
      </x:c>
      <x:c r="E50" s="12" t="str">
        <x:v>Daily attendance record missing</x:v>
      </x:c>
      <x:c r="F50" s="2"/>
      <x:c r="G50" s="2" t="str"/>
      <x:c r="H50" s="2"/>
      <x:c r="I50" s="19"/>
      <x:c r="J50" s="2" t="n">
        <x:v>17</x:v>
      </x:c>
    </x:row>
    <x:row r="51" ht="34" customHeight="1">
      <x:c r="A51" s="2" t="str">
        <x:v>MALLIKA</x:v>
      </x:c>
      <x:c r="B51" s="2" t="str">
        <x:v>HO90-0013</x:v>
      </x:c>
      <x:c r="C51" s="18" t="d">
        <x:v>2026-09-21T00:00:00.000Z</x:v>
      </x:c>
      <x:c r="D51" s="2" t="str">
        <x:v>No record</x:v>
      </x:c>
      <x:c r="E51" s="12" t="str">
        <x:v>Daily attendance record missing</x:v>
      </x:c>
      <x:c r="F51" s="2"/>
      <x:c r="G51" s="2" t="str"/>
      <x:c r="H51" s="2"/>
      <x:c r="I51" s="19"/>
      <x:c r="J51" s="2" t="n">
        <x:v>17</x:v>
      </x:c>
    </x:row>
    <x:row r="52" ht="34" customHeight="1">
      <x:c r="A52" s="2" t="str">
        <x:v>NIRMAL TOM</x:v>
      </x:c>
      <x:c r="B52" s="2" t="str">
        <x:v>HO90-D7326</x:v>
      </x:c>
      <x:c r="C52" s="18" t="d">
        <x:v>2026-09-01T00:00:00.000Z</x:v>
      </x:c>
      <x:c r="D52" s="2" t="str">
        <x:v>Present</x:v>
      </x:c>
      <x:c r="E52" s="12" t="str">
        <x:v>Missing punch; Incomplete break punches</x:v>
      </x:c>
      <x:c r="F52" s="2" t="n">
        <x:v>334</x:v>
      </x:c>
      <x:c r="G52" s="2" t="str">
        <x:v>5h 34m</x:v>
      </x:c>
      <x:c r="H52" s="2" t="n">
        <x:v>7</x:v>
      </x:c>
      <x:c r="I52" s="19" t="n">
        <x:v>1</x:v>
      </x:c>
      <x:c r="J52" s="2" t="n">
        <x:v>19</x:v>
      </x:c>
    </x:row>
    <x:row r="53" ht="34" customHeight="1">
      <x:c r="A53" s="2" t="str">
        <x:v>NIRMAL TOM</x:v>
      </x:c>
      <x:c r="B53" s="2" t="str">
        <x:v>HO90-D7326</x:v>
      </x:c>
      <x:c r="C53" s="18" t="d">
        <x:v>2026-09-14T00:00:00.000Z</x:v>
      </x:c>
      <x:c r="D53" s="2" t="str">
        <x:v>Present</x:v>
      </x:c>
      <x:c r="E53" s="12" t="str">
        <x:v>Missing punch; Incomplete break punches</x:v>
      </x:c>
      <x:c r="F53" s="2" t="n">
        <x:v>549</x:v>
      </x:c>
      <x:c r="G53" s="2" t="str">
        <x:v>9h 09m</x:v>
      </x:c>
      <x:c r="H53" s="2" t="n">
        <x:v>7</x:v>
      </x:c>
      <x:c r="I53" s="19" t="n">
        <x:v>1</x:v>
      </x:c>
      <x:c r="J53" s="2" t="n">
        <x:v>19</x:v>
      </x:c>
    </x:row>
    <x:row r="54" ht="34" customHeight="1">
      <x:c r="A54" s="2" t="str">
        <x:v>NIRMAL TOM</x:v>
      </x:c>
      <x:c r="B54" s="2" t="str">
        <x:v>HO90-D7326</x:v>
      </x:c>
      <x:c r="C54" s="18" t="d">
        <x:v>2026-09-17T00:00:00.000Z</x:v>
      </x:c>
      <x:c r="D54" s="2" t="str">
        <x:v>Present</x:v>
      </x:c>
      <x:c r="E54" s="12" t="str">
        <x:v>Missing punch; Incomplete break punches</x:v>
      </x:c>
      <x:c r="F54" s="2" t="n">
        <x:v>279</x:v>
      </x:c>
      <x:c r="G54" s="2" t="str">
        <x:v>4h 39m</x:v>
      </x:c>
      <x:c r="H54" s="2" t="n">
        <x:v>5</x:v>
      </x:c>
      <x:c r="I54" s="19" t="n">
        <x:v>1</x:v>
      </x:c>
      <x:c r="J54" s="2" t="n">
        <x:v>19</x:v>
      </x:c>
    </x:row>
    <x:row r="55" ht="34" customHeight="1">
      <x:c r="A55" s="2" t="str">
        <x:v>NIRMAL TOM</x:v>
      </x:c>
      <x:c r="B55" s="2" t="str">
        <x:v>HO90-D7326</x:v>
      </x:c>
      <x:c r="C55" s="18" t="d">
        <x:v>2026-09-18T00:00:00.000Z</x:v>
      </x:c>
      <x:c r="D55" s="2" t="str">
        <x:v>Present</x:v>
      </x:c>
      <x:c r="E55" s="12" t="str">
        <x:v>Missing punch; Incomplete break punches</x:v>
      </x:c>
      <x:c r="F55" s="2" t="n">
        <x:v>312</x:v>
      </x:c>
      <x:c r="G55" s="2" t="str">
        <x:v>5h 12m</x:v>
      </x:c>
      <x:c r="H55" s="2" t="n">
        <x:v>7</x:v>
      </x:c>
      <x:c r="I55" s="19" t="n">
        <x:v>1</x:v>
      </x:c>
      <x:c r="J55" s="2" t="n">
        <x:v>19</x:v>
      </x:c>
    </x:row>
    <x:row r="56" ht="34" customHeight="1">
      <x:c r="A56" s="2" t="str">
        <x:v>NIRMAL TOM</x:v>
      </x:c>
      <x:c r="B56" s="2" t="str">
        <x:v>HO90-D7326</x:v>
      </x:c>
      <x:c r="C56" s="18" t="d">
        <x:v>2026-09-26T00:00:00.000Z</x:v>
      </x:c>
      <x:c r="D56" s="2" t="str">
        <x:v>Present</x:v>
      </x:c>
      <x:c r="E56" s="12" t="str">
        <x:v>Missing punch; Incomplete break punches</x:v>
      </x:c>
      <x:c r="F56" s="2" t="n">
        <x:v>537</x:v>
      </x:c>
      <x:c r="G56" s="2" t="str">
        <x:v>8h 57m</x:v>
      </x:c>
      <x:c r="H56" s="2" t="n">
        <x:v>7</x:v>
      </x:c>
      <x:c r="I56" s="19" t="n">
        <x:v>1</x:v>
      </x:c>
      <x:c r="J56" s="2" t="n">
        <x:v>19</x:v>
      </x:c>
    </x:row>
    <x:row r="57" ht="34" customHeight="1">
      <x:c r="A57" s="2" t="str">
        <x:v>NIRMAL TOM</x:v>
      </x:c>
      <x:c r="B57" s="2" t="str">
        <x:v>HO90-D7326</x:v>
      </x:c>
      <x:c r="C57" s="18" t="d">
        <x:v>2026-09-30T00:00:00.000Z</x:v>
      </x:c>
      <x:c r="D57" s="2" t="str">
        <x:v>Present</x:v>
      </x:c>
      <x:c r="E57" s="12" t="str">
        <x:v>Missing punch; Incomplete break punches</x:v>
      </x:c>
      <x:c r="F57" s="2" t="n">
        <x:v>168</x:v>
      </x:c>
      <x:c r="G57" s="2" t="str">
        <x:v>2h 48m</x:v>
      </x:c>
      <x:c r="H57" s="2" t="n">
        <x:v>5</x:v>
      </x:c>
      <x:c r="I57" s="19" t="n">
        <x:v>1</x:v>
      </x:c>
      <x:c r="J57" s="2" t="n">
        <x:v>19</x:v>
      </x:c>
    </x:row>
    <x:row r="58" ht="34" customHeight="1">
      <x:c r="A58" s="2" t="str">
        <x:v>NISHA JOSE</x:v>
      </x:c>
      <x:c r="B58" s="2" t="str">
        <x:v>HO90-0014</x:v>
      </x:c>
      <x:c r="C58" s="18" t="d">
        <x:v>2026-09-30T00:00:00.000Z</x:v>
      </x:c>
      <x:c r="D58" s="2" t="str">
        <x:v>Present</x:v>
      </x:c>
      <x:c r="E58" s="12" t="str">
        <x:v>Missing punch</x:v>
      </x:c>
      <x:c r="F58" s="2" t="n">
        <x:v>510</x:v>
      </x:c>
      <x:c r="G58" s="2" t="str">
        <x:v>8h 30m</x:v>
      </x:c>
      <x:c r="H58" s="2" t="n">
        <x:v>1</x:v>
      </x:c>
      <x:c r="I58" s="19" t="n">
        <x:v>1</x:v>
      </x:c>
      <x:c r="J58" s="2" t="n">
        <x:v>20</x:v>
      </x:c>
    </x:row>
    <x:row r="59" ht="34" customHeight="1">
      <x:c r="A59" s="2" t="str">
        <x:v>RADHIKA</x:v>
      </x:c>
      <x:c r="B59" s="2" t="str">
        <x:v>HO90-0015</x:v>
      </x:c>
      <x:c r="C59" s="18" t="d">
        <x:v>2026-09-01T00:00:00.000Z</x:v>
      </x:c>
      <x:c r="D59" s="2" t="str">
        <x:v>Present</x:v>
      </x:c>
      <x:c r="E59" s="12" t="str">
        <x:v>Missing punch</x:v>
      </x:c>
      <x:c r="F59" s="2" t="n">
        <x:v>510</x:v>
      </x:c>
      <x:c r="G59" s="2" t="str">
        <x:v>8h 30m</x:v>
      </x:c>
      <x:c r="H59" s="2" t="n">
        <x:v>1</x:v>
      </x:c>
      <x:c r="I59" s="19" t="n">
        <x:v>1</x:v>
      </x:c>
      <x:c r="J59" s="2" t="n">
        <x:v>21</x:v>
      </x:c>
    </x:row>
    <x:row r="60" ht="34" customHeight="1">
      <x:c r="A60" s="2" t="str">
        <x:v>RADHIKA</x:v>
      </x:c>
      <x:c r="B60" s="2" t="str">
        <x:v>HO90-0015</x:v>
      </x:c>
      <x:c r="C60" s="18" t="d">
        <x:v>2026-09-10T00:00:00.000Z</x:v>
      </x:c>
      <x:c r="D60" s="2" t="str">
        <x:v>Present</x:v>
      </x:c>
      <x:c r="E60" s="12" t="str">
        <x:v>Missing punch; Incomplete break punches</x:v>
      </x:c>
      <x:c r="F60" s="2" t="n">
        <x:v>465</x:v>
      </x:c>
      <x:c r="G60" s="2" t="str">
        <x:v>7h 45m</x:v>
      </x:c>
      <x:c r="H60" s="2" t="n">
        <x:v>3</x:v>
      </x:c>
      <x:c r="I60" s="19" t="n">
        <x:v>1</x:v>
      </x:c>
      <x:c r="J60" s="2" t="n">
        <x:v>21</x:v>
      </x:c>
    </x:row>
    <x:row r="61" ht="34" customHeight="1">
      <x:c r="A61" s="2" t="str">
        <x:v>RADHIKA</x:v>
      </x:c>
      <x:c r="B61" s="2" t="str">
        <x:v>HO90-0015</x:v>
      </x:c>
      <x:c r="C61" s="18" t="d">
        <x:v>2026-09-22T00:00:00.000Z</x:v>
      </x:c>
      <x:c r="D61" s="2" t="str">
        <x:v>Present</x:v>
      </x:c>
      <x:c r="E61" s="12" t="str">
        <x:v>Missing punch</x:v>
      </x:c>
      <x:c r="F61" s="2" t="n">
        <x:v>369</x:v>
      </x:c>
      <x:c r="G61" s="2" t="str">
        <x:v>6h 09m</x:v>
      </x:c>
      <x:c r="H61" s="2" t="n">
        <x:v>1</x:v>
      </x:c>
      <x:c r="I61" s="19" t="n">
        <x:v>1</x:v>
      </x:c>
      <x:c r="J61" s="2" t="n">
        <x:v>21</x:v>
      </x:c>
    </x:row>
    <x:row r="62" ht="34" customHeight="1">
      <x:c r="A62" s="2" t="str">
        <x:v>RADHIKA</x:v>
      </x:c>
      <x:c r="B62" s="2" t="str">
        <x:v>HO90-0015</x:v>
      </x:c>
      <x:c r="C62" s="18" t="d">
        <x:v>2026-09-28T00:00:00.000Z</x:v>
      </x:c>
      <x:c r="D62" s="2" t="str">
        <x:v>Present</x:v>
      </x:c>
      <x:c r="E62" s="12" t="str">
        <x:v>Missing punch</x:v>
      </x:c>
      <x:c r="F62" s="2" t="n">
        <x:v>398</x:v>
      </x:c>
      <x:c r="G62" s="2" t="str">
        <x:v>6h 38m</x:v>
      </x:c>
      <x:c r="H62" s="2" t="n">
        <x:v>1</x:v>
      </x:c>
      <x:c r="I62" s="19" t="n">
        <x:v>1</x:v>
      </x:c>
      <x:c r="J62" s="2" t="n">
        <x:v>21</x:v>
      </x:c>
    </x:row>
    <x:row r="63" ht="34" customHeight="1">
      <x:c r="A63" s="2" t="str">
        <x:v>RADHIKA</x:v>
      </x:c>
      <x:c r="B63" s="2" t="str">
        <x:v>HO90-0015</x:v>
      </x:c>
      <x:c r="C63" s="18" t="d">
        <x:v>2026-09-30T00:00:00.000Z</x:v>
      </x:c>
      <x:c r="D63" s="2" t="str">
        <x:v>Present</x:v>
      </x:c>
      <x:c r="E63" s="12" t="str">
        <x:v>Missing punch</x:v>
      </x:c>
      <x:c r="F63" s="2" t="n">
        <x:v>418</x:v>
      </x:c>
      <x:c r="G63" s="2" t="str">
        <x:v>6h 58m</x:v>
      </x:c>
      <x:c r="H63" s="2" t="n">
        <x:v>1</x:v>
      </x:c>
      <x:c r="I63" s="19" t="n">
        <x:v>1</x:v>
      </x:c>
      <x:c r="J63" s="2" t="n">
        <x:v>21</x:v>
      </x:c>
    </x:row>
    <x:row r="64" ht="34" customHeight="1">
      <x:c r="A64" s="2" t="str">
        <x:v>RENJITH MOHANAN</x:v>
      </x:c>
      <x:c r="B64" s="2" t="str">
        <x:v>HO90-0016</x:v>
      </x:c>
      <x:c r="C64" s="18" t="d">
        <x:v>2026-09-18T00:00:00.000Z</x:v>
      </x:c>
      <x:c r="D64" s="2" t="str">
        <x:v>Present</x:v>
      </x:c>
      <x:c r="E64" s="12" t="str">
        <x:v>Missing punch</x:v>
      </x:c>
      <x:c r="F64" s="2" t="n">
        <x:v>510</x:v>
      </x:c>
      <x:c r="G64" s="2" t="str">
        <x:v>8h 30m</x:v>
      </x:c>
      <x:c r="H64" s="2" t="n">
        <x:v>1</x:v>
      </x:c>
      <x:c r="I64" s="19" t="n">
        <x:v>1</x:v>
      </x:c>
      <x:c r="J64" s="2" t="n">
        <x:v>22</x:v>
      </x:c>
    </x:row>
    <x:row r="65" ht="34" customHeight="1">
      <x:c r="A65" s="2" t="str">
        <x:v>RENJITH MOHANAN</x:v>
      </x:c>
      <x:c r="B65" s="2" t="str">
        <x:v>HO90-0016</x:v>
      </x:c>
      <x:c r="C65" s="18" t="d">
        <x:v>2026-09-30T00:00:00.000Z</x:v>
      </x:c>
      <x:c r="D65" s="2" t="str">
        <x:v>Present</x:v>
      </x:c>
      <x:c r="E65" s="12" t="str">
        <x:v>Missing punch</x:v>
      </x:c>
      <x:c r="F65" s="2" t="n">
        <x:v>468</x:v>
      </x:c>
      <x:c r="G65" s="2" t="str">
        <x:v>7h 48m</x:v>
      </x:c>
      <x:c r="H65" s="2" t="n">
        <x:v>1</x:v>
      </x:c>
      <x:c r="I65" s="19" t="n">
        <x:v>1</x:v>
      </x:c>
      <x:c r="J65" s="2" t="n">
        <x:v>22</x:v>
      </x:c>
    </x:row>
    <x:row r="66" ht="34" customHeight="1">
      <x:c r="A66" s="2" t="str">
        <x:v>SABITHA V U</x:v>
      </x:c>
      <x:c r="B66" s="2" t="str">
        <x:v>HO90-0017</x:v>
      </x:c>
      <x:c r="C66" s="18" t="d">
        <x:v>2026-09-05T00:00:00.000Z</x:v>
      </x:c>
      <x:c r="D66" s="2" t="str">
        <x:v>Present</x:v>
      </x:c>
      <x:c r="E66" s="12" t="str">
        <x:v>Missing punch</x:v>
      </x:c>
      <x:c r="F66" s="2" t="n">
        <x:v>508</x:v>
      </x:c>
      <x:c r="G66" s="2" t="str">
        <x:v>8h 28m</x:v>
      </x:c>
      <x:c r="H66" s="2" t="n">
        <x:v>1</x:v>
      </x:c>
      <x:c r="I66" s="19" t="n">
        <x:v>1</x:v>
      </x:c>
      <x:c r="J66" s="2" t="n">
        <x:v>23</x:v>
      </x:c>
    </x:row>
    <x:row r="67" ht="34" customHeight="1">
      <x:c r="A67" s="2" t="str">
        <x:v>SABITHA V U</x:v>
      </x:c>
      <x:c r="B67" s="2" t="str">
        <x:v>HO90-0017</x:v>
      </x:c>
      <x:c r="C67" s="18" t="d">
        <x:v>2026-09-30T00:00:00.000Z</x:v>
      </x:c>
      <x:c r="D67" s="2" t="str">
        <x:v>Present</x:v>
      </x:c>
      <x:c r="E67" s="12" t="str">
        <x:v>Missing punch; Incomplete break punches</x:v>
      </x:c>
      <x:c r="F67" s="2" t="n">
        <x:v>97</x:v>
      </x:c>
      <x:c r="G67" s="2" t="str">
        <x:v>1h 37m</x:v>
      </x:c>
      <x:c r="H67" s="2" t="n">
        <x:v>3</x:v>
      </x:c>
      <x:c r="I67" s="19" t="n">
        <x:v>1</x:v>
      </x:c>
      <x:c r="J67" s="2" t="n">
        <x:v>23</x:v>
      </x:c>
    </x:row>
    <x:row r="68" ht="34" customHeight="1">
      <x:c r="A68" s="2" t="str">
        <x:v>SANAL THANKAPPAN</x:v>
      </x:c>
      <x:c r="B68" s="2" t="str">
        <x:v>7341</x:v>
      </x:c>
      <x:c r="C68" s="18" t="d">
        <x:v>2026-09-17T00:00:00.000Z</x:v>
      </x:c>
      <x:c r="D68" s="2" t="str">
        <x:v>Present</x:v>
      </x:c>
      <x:c r="E68" s="12" t="str">
        <x:v>Missing punch; Incomplete break punches</x:v>
      </x:c>
      <x:c r="F68" s="2" t="n">
        <x:v>479</x:v>
      </x:c>
      <x:c r="G68" s="2" t="str">
        <x:v>7h 59m</x:v>
      </x:c>
      <x:c r="H68" s="2" t="n">
        <x:v>5</x:v>
      </x:c>
      <x:c r="I68" s="19" t="n">
        <x:v>1</x:v>
      </x:c>
      <x:c r="J68" s="2" t="n">
        <x:v>25</x:v>
      </x:c>
    </x:row>
    <x:row r="69" ht="34" customHeight="1">
      <x:c r="A69" s="2" t="str">
        <x:v>SANAL THANKAPPAN</x:v>
      </x:c>
      <x:c r="B69" s="2" t="str">
        <x:v>7341</x:v>
      </x:c>
      <x:c r="C69" s="18" t="d">
        <x:v>2026-09-18T00:00:00.000Z</x:v>
      </x:c>
      <x:c r="D69" s="2" t="str">
        <x:v>Present</x:v>
      </x:c>
      <x:c r="E69" s="12" t="str">
        <x:v>Missing punch; Incomplete break punches</x:v>
      </x:c>
      <x:c r="F69" s="2" t="n">
        <x:v>245</x:v>
      </x:c>
      <x:c r="G69" s="2" t="str">
        <x:v>4h 05m</x:v>
      </x:c>
      <x:c r="H69" s="2" t="n">
        <x:v>5</x:v>
      </x:c>
      <x:c r="I69" s="19" t="n">
        <x:v>1</x:v>
      </x:c>
      <x:c r="J69" s="2" t="n">
        <x:v>25</x:v>
      </x:c>
    </x:row>
    <x:row r="70" ht="34" customHeight="1">
      <x:c r="A70" s="2" t="str">
        <x:v>SANAL THANKAPPAN</x:v>
      </x:c>
      <x:c r="B70" s="2" t="str">
        <x:v>7341</x:v>
      </x:c>
      <x:c r="C70" s="18" t="d">
        <x:v>2026-09-30T00:00:00.000Z</x:v>
      </x:c>
      <x:c r="D70" s="2" t="str">
        <x:v>Present</x:v>
      </x:c>
      <x:c r="E70" s="12" t="str">
        <x:v>Missing punch</x:v>
      </x:c>
      <x:c r="F70" s="2" t="n">
        <x:v>478</x:v>
      </x:c>
      <x:c r="G70" s="2" t="str">
        <x:v>7h 58m</x:v>
      </x:c>
      <x:c r="H70" s="2" t="n">
        <x:v>1</x:v>
      </x:c>
      <x:c r="I70" s="19" t="n">
        <x:v>1</x:v>
      </x:c>
      <x:c r="J70" s="2" t="n">
        <x:v>25</x:v>
      </x:c>
    </x:row>
    <x:row r="71" ht="34" customHeight="1">
      <x:c r="A71" s="2" t="str">
        <x:v>SHEEBA V</x:v>
      </x:c>
      <x:c r="B71" s="2" t="str">
        <x:v>HO90-0019</x:v>
      </x:c>
      <x:c r="C71" s="18" t="d">
        <x:v>2026-09-30T00:00:00.000Z</x:v>
      </x:c>
      <x:c r="D71" s="2" t="str">
        <x:v>Present</x:v>
      </x:c>
      <x:c r="E71" s="12" t="str">
        <x:v>Missing punch</x:v>
      </x:c>
      <x:c r="F71" s="2" t="n">
        <x:v>460</x:v>
      </x:c>
      <x:c r="G71" s="2" t="str">
        <x:v>7h 40m</x:v>
      </x:c>
      <x:c r="H71" s="2" t="n">
        <x:v>1</x:v>
      </x:c>
      <x:c r="I71" s="19" t="n">
        <x:v>1</x:v>
      </x:c>
      <x:c r="J71" s="2" t="n">
        <x:v>26</x:v>
      </x:c>
    </x:row>
    <x:row r="72" ht="34" customHeight="1">
      <x:c r="A72" s="2" t="str">
        <x:v>SHEENA PAUL</x:v>
      </x:c>
      <x:c r="B72" s="2" t="str">
        <x:v>HO90-0020</x:v>
      </x:c>
      <x:c r="C72" s="18" t="d">
        <x:v>2026-09-18T00:00:00.000Z</x:v>
      </x:c>
      <x:c r="D72" s="2" t="str">
        <x:v>Present</x:v>
      </x:c>
      <x:c r="E72" s="12" t="str">
        <x:v>Missing punch; Incomplete break punches</x:v>
      </x:c>
      <x:c r="F72" s="2" t="n">
        <x:v>352</x:v>
      </x:c>
      <x:c r="G72" s="2" t="str">
        <x:v>5h 52m</x:v>
      </x:c>
      <x:c r="H72" s="2" t="n">
        <x:v>3</x:v>
      </x:c>
      <x:c r="I72" s="19" t="n">
        <x:v>1</x:v>
      </x:c>
      <x:c r="J72" s="2" t="n">
        <x:v>27</x:v>
      </x:c>
    </x:row>
    <x:row r="73" ht="34" customHeight="1">
      <x:c r="A73" s="2" t="str">
        <x:v>SHEENA PAUL</x:v>
      </x:c>
      <x:c r="B73" s="2" t="str">
        <x:v>HO90-0020</x:v>
      </x:c>
      <x:c r="C73" s="18" t="d">
        <x:v>2026-09-30T00:00:00.000Z</x:v>
      </x:c>
      <x:c r="D73" s="2" t="str">
        <x:v>Present</x:v>
      </x:c>
      <x:c r="E73" s="12" t="str">
        <x:v>Missing punch</x:v>
      </x:c>
      <x:c r="F73" s="2" t="n">
        <x:v>510</x:v>
      </x:c>
      <x:c r="G73" s="2" t="str">
        <x:v>8h 30m</x:v>
      </x:c>
      <x:c r="H73" s="2" t="n">
        <x:v>1</x:v>
      </x:c>
      <x:c r="I73" s="19" t="n">
        <x:v>1</x:v>
      </x:c>
      <x:c r="J73" s="2" t="n">
        <x:v>27</x:v>
      </x:c>
    </x:row>
    <x:row r="74" ht="34" customHeight="1">
      <x:c r="A74" s="2" t="str">
        <x:v>SHIJI K R</x:v>
      </x:c>
      <x:c r="B74" s="2" t="str">
        <x:v>HO90-0021</x:v>
      </x:c>
      <x:c r="C74" s="18" t="d">
        <x:v>2026-09-02T00:00:00.000Z</x:v>
      </x:c>
      <x:c r="D74" s="2" t="str">
        <x:v>Present</x:v>
      </x:c>
      <x:c r="E74" s="12" t="str">
        <x:v>Missing punch</x:v>
      </x:c>
      <x:c r="F74" s="2" t="n">
        <x:v>510</x:v>
      </x:c>
      <x:c r="G74" s="2" t="str">
        <x:v>8h 30m</x:v>
      </x:c>
      <x:c r="H74" s="2" t="n">
        <x:v>1</x:v>
      </x:c>
      <x:c r="I74" s="19" t="n">
        <x:v>1</x:v>
      </x:c>
      <x:c r="J74" s="2" t="n">
        <x:v>28</x:v>
      </x:c>
    </x:row>
    <x:row r="75" ht="34" customHeight="1">
      <x:c r="A75" s="2" t="str">
        <x:v>SHIJI K R</x:v>
      </x:c>
      <x:c r="B75" s="2" t="str">
        <x:v>HO90-0021</x:v>
      </x:c>
      <x:c r="C75" s="18" t="d">
        <x:v>2026-09-18T00:00:00.000Z</x:v>
      </x:c>
      <x:c r="D75" s="2" t="str">
        <x:v>Present</x:v>
      </x:c>
      <x:c r="E75" s="12" t="str">
        <x:v>Missing punch</x:v>
      </x:c>
      <x:c r="F75" s="2" t="n">
        <x:v>510</x:v>
      </x:c>
      <x:c r="G75" s="2" t="str">
        <x:v>8h 30m</x:v>
      </x:c>
      <x:c r="H75" s="2" t="n">
        <x:v>1</x:v>
      </x:c>
      <x:c r="I75" s="19" t="n">
        <x:v>1</x:v>
      </x:c>
      <x:c r="J75" s="2" t="n">
        <x:v>28</x:v>
      </x:c>
    </x:row>
    <x:row r="76" ht="34" customHeight="1">
      <x:c r="A76" s="2" t="str">
        <x:v>SHIJI K R</x:v>
      </x:c>
      <x:c r="B76" s="2" t="str">
        <x:v>HO90-0021</x:v>
      </x:c>
      <x:c r="C76" s="18" t="d">
        <x:v>2026-09-30T00:00:00.000Z</x:v>
      </x:c>
      <x:c r="D76" s="2" t="str">
        <x:v>Present</x:v>
      </x:c>
      <x:c r="E76" s="12" t="str">
        <x:v>Missing punch</x:v>
      </x:c>
      <x:c r="F76" s="2" t="n">
        <x:v>510</x:v>
      </x:c>
      <x:c r="G76" s="2" t="str">
        <x:v>8h 30m</x:v>
      </x:c>
      <x:c r="H76" s="2" t="n">
        <x:v>1</x:v>
      </x:c>
      <x:c r="I76" s="19" t="n">
        <x:v>1</x:v>
      </x:c>
      <x:c r="J76" s="2" t="n">
        <x:v>28</x:v>
      </x:c>
    </x:row>
    <x:row r="77" ht="34" customHeight="1">
      <x:c r="A77" s="2" t="str">
        <x:v>SINDHUKUMARI LAKSHMANAN</x:v>
      </x:c>
      <x:c r="B77" s="2" t="str">
        <x:v>HO90-0023</x:v>
      </x:c>
      <x:c r="C77" s="18" t="d">
        <x:v>2026-09-18T00:00:00.000Z</x:v>
      </x:c>
      <x:c r="D77" s="2" t="str">
        <x:v>Present</x:v>
      </x:c>
      <x:c r="E77" s="12" t="str">
        <x:v>Missing punch</x:v>
      </x:c>
      <x:c r="F77" s="2" t="n">
        <x:v>510</x:v>
      </x:c>
      <x:c r="G77" s="2" t="str">
        <x:v>8h 30m</x:v>
      </x:c>
      <x:c r="H77" s="2" t="n">
        <x:v>1</x:v>
      </x:c>
      <x:c r="I77" s="19" t="n">
        <x:v>1</x:v>
      </x:c>
      <x:c r="J77" s="2" t="n">
        <x:v>29</x:v>
      </x:c>
    </x:row>
    <x:row r="78" ht="34" customHeight="1">
      <x:c r="A78" s="2" t="str">
        <x:v>SINDHUKUMARI LAKSHMANAN</x:v>
      </x:c>
      <x:c r="B78" s="2" t="str">
        <x:v>HO90-0023</x:v>
      </x:c>
      <x:c r="C78" s="18" t="d">
        <x:v>2026-09-30T00:00:00.000Z</x:v>
      </x:c>
      <x:c r="D78" s="2" t="str">
        <x:v>Present</x:v>
      </x:c>
      <x:c r="E78" s="12" t="str">
        <x:v>Missing punch</x:v>
      </x:c>
      <x:c r="F78" s="2" t="n">
        <x:v>482</x:v>
      </x:c>
      <x:c r="G78" s="2" t="str">
        <x:v>8h 02m</x:v>
      </x:c>
      <x:c r="H78" s="2" t="n">
        <x:v>1</x:v>
      </x:c>
      <x:c r="I78" s="19" t="n">
        <x:v>1</x:v>
      </x:c>
      <x:c r="J78" s="2" t="n">
        <x:v>29</x:v>
      </x:c>
    </x:row>
    <x:row r="79" ht="34" customHeight="1">
      <x:c r="A79" s="2" t="str">
        <x:v>SINI K XAVIER</x:v>
      </x:c>
      <x:c r="B79" s="2" t="str">
        <x:v>HO90-0024</x:v>
      </x:c>
      <x:c r="C79" s="18" t="d">
        <x:v>2026-09-01T00:00:00.000Z</x:v>
      </x:c>
      <x:c r="D79" s="2" t="str">
        <x:v>Present</x:v>
      </x:c>
      <x:c r="E79" s="12" t="str">
        <x:v>Missing punch</x:v>
      </x:c>
      <x:c r="F79" s="2" t="n">
        <x:v>510</x:v>
      </x:c>
      <x:c r="G79" s="2" t="str">
        <x:v>8h 30m</x:v>
      </x:c>
      <x:c r="H79" s="2" t="n">
        <x:v>1</x:v>
      </x:c>
      <x:c r="I79" s="19" t="n">
        <x:v>1</x:v>
      </x:c>
      <x:c r="J79" s="2" t="n">
        <x:v>30</x:v>
      </x:c>
    </x:row>
    <x:row r="80" ht="34" customHeight="1">
      <x:c r="A80" s="2" t="str">
        <x:v>SINI K XAVIER</x:v>
      </x:c>
      <x:c r="B80" s="2" t="str">
        <x:v>HO90-0024</x:v>
      </x:c>
      <x:c r="C80" s="18" t="d">
        <x:v>2026-09-18T00:00:00.000Z</x:v>
      </x:c>
      <x:c r="D80" s="2" t="str">
        <x:v>Present</x:v>
      </x:c>
      <x:c r="E80" s="12" t="str">
        <x:v>Missing punch</x:v>
      </x:c>
      <x:c r="F80" s="2" t="n">
        <x:v>510</x:v>
      </x:c>
      <x:c r="G80" s="2" t="str">
        <x:v>8h 30m</x:v>
      </x:c>
      <x:c r="H80" s="2" t="n">
        <x:v>1</x:v>
      </x:c>
      <x:c r="I80" s="19" t="n">
        <x:v>1</x:v>
      </x:c>
      <x:c r="J80" s="2" t="n">
        <x:v>30</x:v>
      </x:c>
    </x:row>
    <x:row r="81" ht="34" customHeight="1">
      <x:c r="A81" s="2" t="str">
        <x:v>SINI K XAVIER</x:v>
      </x:c>
      <x:c r="B81" s="2" t="str">
        <x:v>HO90-0024</x:v>
      </x:c>
      <x:c r="C81" s="18" t="d">
        <x:v>2026-09-30T00:00:00.000Z</x:v>
      </x:c>
      <x:c r="D81" s="2" t="str">
        <x:v>Present</x:v>
      </x:c>
      <x:c r="E81" s="12" t="str">
        <x:v>Missing punch</x:v>
      </x:c>
      <x:c r="F81" s="2" t="n">
        <x:v>510</x:v>
      </x:c>
      <x:c r="G81" s="2" t="str">
        <x:v>8h 30m</x:v>
      </x:c>
      <x:c r="H81" s="2" t="n">
        <x:v>1</x:v>
      </x:c>
      <x:c r="I81" s="19" t="n">
        <x:v>1</x:v>
      </x:c>
      <x:c r="J81" s="2" t="n">
        <x:v>30</x:v>
      </x:c>
    </x:row>
    <x:row r="82" ht="34" customHeight="1">
      <x:c r="A82" s="2" t="str">
        <x:v>SUJITH S NAIR</x:v>
      </x:c>
      <x:c r="B82" s="2" t="str">
        <x:v>7340</x:v>
      </x:c>
      <x:c r="C82" s="18" t="d">
        <x:v>2026-09-09T00:00:00.000Z</x:v>
      </x:c>
      <x:c r="D82" s="2" t="str">
        <x:v>Present</x:v>
      </x:c>
      <x:c r="E82" s="12" t="str">
        <x:v>Missing punch; Incomplete break punches</x:v>
      </x:c>
      <x:c r="F82" s="2" t="n">
        <x:v>304</x:v>
      </x:c>
      <x:c r="G82" s="2" t="str">
        <x:v>5h 04m</x:v>
      </x:c>
      <x:c r="H82" s="2" t="n">
        <x:v>7</x:v>
      </x:c>
      <x:c r="I82" s="19" t="n">
        <x:v>1</x:v>
      </x:c>
      <x:c r="J82" s="2" t="n">
        <x:v>31</x:v>
      </x:c>
    </x:row>
    <x:row r="83" ht="34" customHeight="1">
      <x:c r="A83" s="2" t="str">
        <x:v>SUJITH S NAIR</x:v>
      </x:c>
      <x:c r="B83" s="2" t="str">
        <x:v>7340</x:v>
      </x:c>
      <x:c r="C83" s="18" t="d">
        <x:v>2026-09-12T00:00:00.000Z</x:v>
      </x:c>
      <x:c r="D83" s="2" t="str">
        <x:v>Present</x:v>
      </x:c>
      <x:c r="E83" s="12" t="str">
        <x:v>Missing punch; Incomplete break punches</x:v>
      </x:c>
      <x:c r="F83" s="2" t="n">
        <x:v>367</x:v>
      </x:c>
      <x:c r="G83" s="2" t="str">
        <x:v>6h 07m</x:v>
      </x:c>
      <x:c r="H83" s="2" t="n">
        <x:v>7</x:v>
      </x:c>
      <x:c r="I83" s="19" t="n">
        <x:v>1</x:v>
      </x:c>
      <x:c r="J83" s="2" t="n">
        <x:v>31</x:v>
      </x:c>
    </x:row>
    <x:row r="84" ht="34" customHeight="1">
      <x:c r="A84" s="2" t="str">
        <x:v>SUJITH S NAIR</x:v>
      </x:c>
      <x:c r="B84" s="2" t="str">
        <x:v>7340</x:v>
      </x:c>
      <x:c r="C84" s="18" t="d">
        <x:v>2026-09-18T00:00:00.000Z</x:v>
      </x:c>
      <x:c r="D84" s="2" t="str">
        <x:v>Present</x:v>
      </x:c>
      <x:c r="E84" s="12" t="str">
        <x:v>Missing punch; Incomplete break punches</x:v>
      </x:c>
      <x:c r="F84" s="2" t="n">
        <x:v>307</x:v>
      </x:c>
      <x:c r="G84" s="2" t="str">
        <x:v>5h 07m</x:v>
      </x:c>
      <x:c r="H84" s="2" t="n">
        <x:v>5</x:v>
      </x:c>
      <x:c r="I84" s="19" t="n">
        <x:v>1</x:v>
      </x:c>
      <x:c r="J84" s="2" t="n">
        <x:v>31</x:v>
      </x:c>
    </x:row>
    <x:row r="85" ht="34" customHeight="1">
      <x:c r="A85" s="2" t="str">
        <x:v>SUJITH S NAIR</x:v>
      </x:c>
      <x:c r="B85" s="2" t="str">
        <x:v>7340</x:v>
      </x:c>
      <x:c r="C85" s="18" t="d">
        <x:v>2026-09-22T00:00:00.000Z</x:v>
      </x:c>
      <x:c r="D85" s="2" t="str">
        <x:v>Present</x:v>
      </x:c>
      <x:c r="E85" s="12" t="str">
        <x:v>Missing punch; Incomplete break punches</x:v>
      </x:c>
      <x:c r="F85" s="2" t="n">
        <x:v>270</x:v>
      </x:c>
      <x:c r="G85" s="2" t="str">
        <x:v>4h 30m</x:v>
      </x:c>
      <x:c r="H85" s="2" t="n">
        <x:v>7</x:v>
      </x:c>
      <x:c r="I85" s="19" t="n">
        <x:v>1</x:v>
      </x:c>
      <x:c r="J85" s="2" t="n">
        <x:v>31</x:v>
      </x:c>
    </x:row>
    <x:row r="86" ht="34" customHeight="1">
      <x:c r="A86" s="2" t="str">
        <x:v>SUJITH S NAIR</x:v>
      </x:c>
      <x:c r="B86" s="2" t="str">
        <x:v>7340</x:v>
      </x:c>
      <x:c r="C86" s="18" t="d">
        <x:v>2026-09-24T00:00:00.000Z</x:v>
      </x:c>
      <x:c r="D86" s="2" t="str">
        <x:v>Present</x:v>
      </x:c>
      <x:c r="E86" s="12" t="str">
        <x:v>Missing punch; Incomplete break punches</x:v>
      </x:c>
      <x:c r="F86" s="2" t="n">
        <x:v>549</x:v>
      </x:c>
      <x:c r="G86" s="2" t="str">
        <x:v>9h 09m</x:v>
      </x:c>
      <x:c r="H86" s="2" t="n">
        <x:v>9</x:v>
      </x:c>
      <x:c r="I86" s="19" t="n">
        <x:v>1</x:v>
      </x:c>
      <x:c r="J86" s="2" t="n">
        <x:v>31</x:v>
      </x:c>
    </x:row>
    <x:row r="87" ht="34" customHeight="1">
      <x:c r="A87" s="2" t="str">
        <x:v>SUJITH S NAIR</x:v>
      </x:c>
      <x:c r="B87" s="2" t="str">
        <x:v>7340</x:v>
      </x:c>
      <x:c r="C87" s="18" t="d">
        <x:v>2026-09-26T00:00:00.000Z</x:v>
      </x:c>
      <x:c r="D87" s="2" t="str">
        <x:v>Present</x:v>
      </x:c>
      <x:c r="E87" s="12" t="str">
        <x:v>Missing punch; Incomplete break punches</x:v>
      </x:c>
      <x:c r="F87" s="2" t="n">
        <x:v>307</x:v>
      </x:c>
      <x:c r="G87" s="2" t="str">
        <x:v>5h 07m</x:v>
      </x:c>
      <x:c r="H87" s="2" t="n">
        <x:v>11</x:v>
      </x:c>
      <x:c r="I87" s="19" t="n">
        <x:v>1</x:v>
      </x:c>
      <x:c r="J87" s="2" t="n">
        <x:v>31</x:v>
      </x:c>
    </x:row>
    <x:row r="88" ht="34" customHeight="1">
      <x:c r="A88" s="2" t="str">
        <x:v>SUJITH S NAIR</x:v>
      </x:c>
      <x:c r="B88" s="2" t="str">
        <x:v>7340</x:v>
      </x:c>
      <x:c r="C88" s="18" t="d">
        <x:v>2026-09-28T00:00:00.000Z</x:v>
      </x:c>
      <x:c r="D88" s="2" t="str">
        <x:v>Present</x:v>
      </x:c>
      <x:c r="E88" s="12" t="str">
        <x:v>Missing punch; Incomplete break punches</x:v>
      </x:c>
      <x:c r="F88" s="2" t="n">
        <x:v>331</x:v>
      </x:c>
      <x:c r="G88" s="2" t="str">
        <x:v>5h 31m</x:v>
      </x:c>
      <x:c r="H88" s="2" t="n">
        <x:v>3</x:v>
      </x:c>
      <x:c r="I88" s="19" t="n">
        <x:v>1</x:v>
      </x:c>
      <x:c r="J88" s="2" t="n">
        <x:v>31</x:v>
      </x:c>
    </x:row>
    <x:row r="89" ht="34" customHeight="1">
      <x:c r="A89" s="2" t="str">
        <x:v>SUJITH S NAIR</x:v>
      </x:c>
      <x:c r="B89" s="2" t="str">
        <x:v>7340</x:v>
      </x:c>
      <x:c r="C89" s="18" t="d">
        <x:v>2026-09-29T00:00:00.000Z</x:v>
      </x:c>
      <x:c r="D89" s="2" t="str">
        <x:v>Present</x:v>
      </x:c>
      <x:c r="E89" s="12" t="str">
        <x:v>Missing punch; Incomplete break punches</x:v>
      </x:c>
      <x:c r="F89" s="2" t="n">
        <x:v>323</x:v>
      </x:c>
      <x:c r="G89" s="2" t="str">
        <x:v>5h 23m</x:v>
      </x:c>
      <x:c r="H89" s="2" t="n">
        <x:v>9</x:v>
      </x:c>
      <x:c r="I89" s="19" t="n">
        <x:v>1</x:v>
      </x:c>
      <x:c r="J89" s="2" t="n">
        <x:v>31</x:v>
      </x:c>
    </x:row>
    <x:row r="90" ht="34" customHeight="1">
      <x:c r="A90" s="2" t="str">
        <x:v>SYAMALA KUMARI O S</x:v>
      </x:c>
      <x:c r="B90" s="2" t="str">
        <x:v>HO90-0025</x:v>
      </x:c>
      <x:c r="C90" s="18" t="d">
        <x:v>2026-09-18T00:00:00.000Z</x:v>
      </x:c>
      <x:c r="D90" s="2" t="str">
        <x:v>Present</x:v>
      </x:c>
      <x:c r="E90" s="12" t="str">
        <x:v>Missing punch; Incomplete break punches</x:v>
      </x:c>
      <x:c r="F90" s="2" t="n">
        <x:v>356</x:v>
      </x:c>
      <x:c r="G90" s="2" t="str">
        <x:v>5h 56m</x:v>
      </x:c>
      <x:c r="H90" s="2" t="n">
        <x:v>3</x:v>
      </x:c>
      <x:c r="I90" s="19" t="n">
        <x:v>1</x:v>
      </x:c>
      <x:c r="J90" s="2" t="n">
        <x:v>32</x:v>
      </x:c>
    </x:row>
    <x:row r="91" ht="34" customHeight="1">
      <x:c r="A91" s="2" t="str">
        <x:v>SYAMALA KUMARI O S</x:v>
      </x:c>
      <x:c r="B91" s="2" t="str">
        <x:v>HO90-0025</x:v>
      </x:c>
      <x:c r="C91" s="18" t="d">
        <x:v>2026-09-22T00:00:00.000Z</x:v>
      </x:c>
      <x:c r="D91" s="2" t="str">
        <x:v>Present</x:v>
      </x:c>
      <x:c r="E91" s="12" t="str">
        <x:v>Missing punch</x:v>
      </x:c>
      <x:c r="F91" s="2" t="n">
        <x:v>510</x:v>
      </x:c>
      <x:c r="G91" s="2" t="str">
        <x:v>8h 30m</x:v>
      </x:c>
      <x:c r="H91" s="2" t="n">
        <x:v>1</x:v>
      </x:c>
      <x:c r="I91" s="19" t="n">
        <x:v>1</x:v>
      </x:c>
      <x:c r="J91" s="2" t="n">
        <x:v>32</x:v>
      </x:c>
    </x:row>
    <x:row r="92" ht="34" customHeight="1">
      <x:c r="A92" s="2" t="str">
        <x:v>SYAMALA KUMARI O S</x:v>
      </x:c>
      <x:c r="B92" s="2" t="str">
        <x:v>HO90-0025</x:v>
      </x:c>
      <x:c r="C92" s="18" t="d">
        <x:v>2026-09-30T00:00:00.000Z</x:v>
      </x:c>
      <x:c r="D92" s="2" t="str">
        <x:v>Present</x:v>
      </x:c>
      <x:c r="E92" s="12" t="str">
        <x:v>Missing punch</x:v>
      </x:c>
      <x:c r="F92" s="2" t="n">
        <x:v>479</x:v>
      </x:c>
      <x:c r="G92" s="2" t="str">
        <x:v>7h 59m</x:v>
      </x:c>
      <x:c r="H92" s="2" t="n">
        <x:v>1</x:v>
      </x:c>
      <x:c r="I92" s="19" t="n">
        <x:v>1</x:v>
      </x:c>
      <x:c r="J92" s="2" t="n">
        <x:v>32</x:v>
      </x:c>
    </x:row>
    <x:row r="93" ht="34" customHeight="1">
      <x:c r="A93" s="2" t="str">
        <x:v>VISHNU UNNIKRISHNAN</x:v>
      </x:c>
      <x:c r="B93" s="2" t="str">
        <x:v>HO90-D7327</x:v>
      </x:c>
      <x:c r="C93" s="18" t="d">
        <x:v>2026-09-03T00:00:00.000Z</x:v>
      </x:c>
      <x:c r="D93" s="2" t="str">
        <x:v>Present</x:v>
      </x:c>
      <x:c r="E93" s="12" t="str">
        <x:v>Missing punch; Incomplete break punches</x:v>
      </x:c>
      <x:c r="F93" s="2" t="n">
        <x:v>287</x:v>
      </x:c>
      <x:c r="G93" s="2" t="str">
        <x:v>4h 47m</x:v>
      </x:c>
      <x:c r="H93" s="2" t="n">
        <x:v>3</x:v>
      </x:c>
      <x:c r="I93" s="19" t="n">
        <x:v>1</x:v>
      </x:c>
      <x:c r="J93" s="2" t="n">
        <x:v>33</x:v>
      </x:c>
    </x:row>
    <x:row r="94" ht="34" customHeight="1">
      <x:c r="A94" s="2" t="str">
        <x:v>VISHNU UNNIKRISHNAN</x:v>
      </x:c>
      <x:c r="B94" s="2" t="str">
        <x:v>HO90-D7327</x:v>
      </x:c>
      <x:c r="C94" s="18" t="d">
        <x:v>2026-09-17T00:00:00.000Z</x:v>
      </x:c>
      <x:c r="D94" s="2" t="str">
        <x:v>Present</x:v>
      </x:c>
      <x:c r="E94" s="12" t="str">
        <x:v>Missing punch; Incomplete break punches</x:v>
      </x:c>
      <x:c r="F94" s="2" t="n">
        <x:v>258</x:v>
      </x:c>
      <x:c r="G94" s="2" t="str">
        <x:v>4h 18m</x:v>
      </x:c>
      <x:c r="H94" s="2" t="n">
        <x:v>3</x:v>
      </x:c>
      <x:c r="I94" s="19" t="n">
        <x:v>1</x:v>
      </x:c>
      <x:c r="J94" s="2" t="n">
        <x:v>33</x:v>
      </x:c>
    </x:row>
    <x:row r="95" ht="34" customHeight="1">
      <x:c r="A95" s="2" t="str">
        <x:v>VISHNU UNNIKRISHNAN</x:v>
      </x:c>
      <x:c r="B95" s="2" t="str">
        <x:v>HO90-D7327</x:v>
      </x:c>
      <x:c r="C95" s="18" t="d">
        <x:v>2026-09-18T00:00:00.000Z</x:v>
      </x:c>
      <x:c r="D95" s="2" t="str">
        <x:v>Present</x:v>
      </x:c>
      <x:c r="E95" s="12" t="str">
        <x:v>Missing punch; Incomplete break punches</x:v>
      </x:c>
      <x:c r="F95" s="2" t="n">
        <x:v>302</x:v>
      </x:c>
      <x:c r="G95" s="2" t="str">
        <x:v>5h 02m</x:v>
      </x:c>
      <x:c r="H95" s="2" t="n">
        <x:v>3</x:v>
      </x:c>
      <x:c r="I95" s="19" t="n">
        <x:v>1</x:v>
      </x:c>
      <x:c r="J95" s="2" t="n">
        <x:v>33</x:v>
      </x:c>
    </x:row>
    <x:row r="96" ht="34" customHeight="1">
      <x:c r="A96" s="2" t="str">
        <x:v>VISHNU UNNIKRISHNAN</x:v>
      </x:c>
      <x:c r="B96" s="2" t="str">
        <x:v>HO90-D7327</x:v>
      </x:c>
      <x:c r="C96" s="18" t="d">
        <x:v>2026-09-30T00:00:00.000Z</x:v>
      </x:c>
      <x:c r="D96" s="2" t="str">
        <x:v>Present</x:v>
      </x:c>
      <x:c r="E96" s="12" t="str">
        <x:v>Missing punch</x:v>
      </x:c>
      <x:c r="F96" s="2" t="n">
        <x:v>478</x:v>
      </x:c>
      <x:c r="G96" s="2" t="str">
        <x:v>7h 58m</x:v>
      </x:c>
      <x:c r="H96" s="2" t="n">
        <x:v>1</x:v>
      </x:c>
      <x:c r="I96" s="19" t="n">
        <x:v>1</x:v>
      </x:c>
      <x:c r="J96" s="2" t="n">
        <x:v>33</x:v>
      </x:c>
    </x:row>
    <x:row r="97" ht="34" customHeight="1">
      <x:c r="A97" s="2" t="str">
        <x:v>VIVEK VIMAL</x:v>
      </x:c>
      <x:c r="B97" s="2" t="str">
        <x:v>HO90-D7325</x:v>
      </x:c>
      <x:c r="C97" s="18" t="d">
        <x:v>2026-09-18T00:00:00.000Z</x:v>
      </x:c>
      <x:c r="D97" s="2" t="str">
        <x:v>Present</x:v>
      </x:c>
      <x:c r="E97" s="12" t="str">
        <x:v>Missing punch; Incomplete break punches</x:v>
      </x:c>
      <x:c r="F97" s="2" t="n">
        <x:v>319</x:v>
      </x:c>
      <x:c r="G97" s="2" t="str">
        <x:v>5h 19m</x:v>
      </x:c>
      <x:c r="H97" s="2" t="n">
        <x:v>7</x:v>
      </x:c>
      <x:c r="I97" s="19" t="n">
        <x:v>1</x:v>
      </x:c>
      <x:c r="J97" s="2" t="n">
        <x:v>34</x:v>
      </x:c>
    </x:row>
    <x:row r="98" ht="34" customHeight="1">
      <x:c r="A98" s="2" t="str">
        <x:v>VIVEK VIMAL</x:v>
      </x:c>
      <x:c r="B98" s="2" t="str">
        <x:v>HO90-D7325</x:v>
      </x:c>
      <x:c r="C98" s="18" t="d">
        <x:v>2026-09-30T00:00:00.000Z</x:v>
      </x:c>
      <x:c r="D98" s="2" t="str">
        <x:v>Present</x:v>
      </x:c>
      <x:c r="E98" s="12" t="str">
        <x:v>Missing punch; Incomplete break punches</x:v>
      </x:c>
      <x:c r="F98" s="2" t="n">
        <x:v>201</x:v>
      </x:c>
      <x:c r="G98" s="2" t="str">
        <x:v>3h 21m</x:v>
      </x:c>
      <x:c r="H98" s="2" t="n">
        <x:v>5</x:v>
      </x:c>
      <x:c r="I98" s="19" t="n">
        <x:v>1</x:v>
      </x:c>
      <x:c r="J98" s="2" t="n">
        <x:v>34</x:v>
      </x:c>
    </x:row>
  </x:sheetData>
  <x:pageMargins left="0.7" right="0.7" top="0.75" bottom="0.75" header="0.3" footer="0.3"/>
  <x:tableParts count="1">
    <x:tablePart xmlns:r="http://schemas.openxmlformats.org/officeDocument/2006/relationships" r:id="R5468a73eff614f83"/>
  </x:tableParts>
</x:worksheet>
</file>